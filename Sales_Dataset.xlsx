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1f6f237ad0f3e2/Desktop/"/>
    </mc:Choice>
  </mc:AlternateContent>
  <xr:revisionPtr revIDLastSave="54" documentId="8_{FEEBF916-421A-4648-9D9E-65B7ADB161A0}" xr6:coauthVersionLast="47" xr6:coauthVersionMax="47" xr10:uidLastSave="{B371BB00-BC37-4369-926D-A5E0212E487C}"/>
  <bookViews>
    <workbookView xWindow="-108" yWindow="-108" windowWidth="23256" windowHeight="12456" xr2:uid="{0264248B-E00D-4F2A-9767-9A85C753A446}"/>
  </bookViews>
  <sheets>
    <sheet name="Sales_Performanc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M2" i="1"/>
  <c r="N2" i="1"/>
  <c r="O2" i="1" s="1"/>
  <c r="U2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" i="1"/>
  <c r="N2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<sst xmlns="http://schemas.openxmlformats.org/spreadsheetml/2006/main" count="1821" uniqueCount="83">
  <si>
    <t>Date</t>
  </si>
  <si>
    <t>Month</t>
  </si>
  <si>
    <t>Quarter</t>
  </si>
  <si>
    <t>Year</t>
  </si>
  <si>
    <t>Region</t>
  </si>
  <si>
    <t>City</t>
  </si>
  <si>
    <t>Sales Executive</t>
  </si>
  <si>
    <t>Category</t>
  </si>
  <si>
    <t>Product</t>
  </si>
  <si>
    <t>Units Sold</t>
  </si>
  <si>
    <t>Selling Price</t>
  </si>
  <si>
    <t>Revenue</t>
  </si>
  <si>
    <t>Cost</t>
  </si>
  <si>
    <t>Profit</t>
  </si>
  <si>
    <t>Profit Margin %</t>
  </si>
  <si>
    <t>Customer Type</t>
  </si>
  <si>
    <t>Channel</t>
  </si>
  <si>
    <t>Target Sales</t>
  </si>
  <si>
    <t>Actual Sales</t>
  </si>
  <si>
    <t>Achievement %</t>
  </si>
  <si>
    <t>Growth %</t>
  </si>
  <si>
    <t>Jan</t>
  </si>
  <si>
    <t>Q1</t>
  </si>
  <si>
    <t>East</t>
  </si>
  <si>
    <t>Kolkata</t>
  </si>
  <si>
    <t>Sameer Shah</t>
  </si>
  <si>
    <t>Electronics</t>
  </si>
  <si>
    <t>Headphones</t>
  </si>
  <si>
    <t>New</t>
  </si>
  <si>
    <t>Online</t>
  </si>
  <si>
    <t>West</t>
  </si>
  <si>
    <t>Pune</t>
  </si>
  <si>
    <t>Anjali Singh</t>
  </si>
  <si>
    <t>Furniture</t>
  </si>
  <si>
    <t>Table</t>
  </si>
  <si>
    <t>Ravi Kumar</t>
  </si>
  <si>
    <t>Clothing</t>
  </si>
  <si>
    <t>Jacket</t>
  </si>
  <si>
    <t>Existing</t>
  </si>
  <si>
    <t>Ahmedabad</t>
  </si>
  <si>
    <t>Rahul Das</t>
  </si>
  <si>
    <t>Appliances</t>
  </si>
  <si>
    <t>Fridge</t>
  </si>
  <si>
    <t>Patna</t>
  </si>
  <si>
    <t>Amit Sharma</t>
  </si>
  <si>
    <t>Chair</t>
  </si>
  <si>
    <t>Washing Machine</t>
  </si>
  <si>
    <t>Offline</t>
  </si>
  <si>
    <t>North</t>
  </si>
  <si>
    <t>Chandigarh</t>
  </si>
  <si>
    <t>Central</t>
  </si>
  <si>
    <t>Bhopal</t>
  </si>
  <si>
    <t>T-Shirt</t>
  </si>
  <si>
    <t>Pooja Kumari</t>
  </si>
  <si>
    <t>Mumbai</t>
  </si>
  <si>
    <t>Sofa</t>
  </si>
  <si>
    <t>Nagpur</t>
  </si>
  <si>
    <t>Deepak Jain</t>
  </si>
  <si>
    <t>Tablet</t>
  </si>
  <si>
    <t>Arjun Reddy</t>
  </si>
  <si>
    <t>Microwave</t>
  </si>
  <si>
    <t>South</t>
  </si>
  <si>
    <t>Chennai</t>
  </si>
  <si>
    <t>Bhubaneswar</t>
  </si>
  <si>
    <t>Laptop</t>
  </si>
  <si>
    <t>Jaipur</t>
  </si>
  <si>
    <t>Hyderabad</t>
  </si>
  <si>
    <t>Bangalore</t>
  </si>
  <si>
    <t>Delhi</t>
  </si>
  <si>
    <t>Jeans</t>
  </si>
  <si>
    <t>Feb</t>
  </si>
  <si>
    <t>Neha Verma</t>
  </si>
  <si>
    <t>Indore</t>
  </si>
  <si>
    <t>Sneha Patil</t>
  </si>
  <si>
    <t>Camera</t>
  </si>
  <si>
    <t>Mar</t>
  </si>
  <si>
    <t>Apr</t>
  </si>
  <si>
    <t>Q2</t>
  </si>
  <si>
    <t>Mobile</t>
  </si>
  <si>
    <t>May</t>
  </si>
  <si>
    <t>Jun</t>
  </si>
  <si>
    <t>Jul</t>
  </si>
  <si>
    <t>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</si>
</sst>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F76CE-DACC-4A43-888B-2EB3C4B76DBA}">
  <dimension ref="A1:U201"/>
  <sheetViews>
    <sheetView tabSelected="1" topLeftCell="H1" workbookViewId="0">
      <selection activeCell="R2" sqref="R2"/>
    </sheetView>
  </sheetViews>
  <sheetFormatPr defaultRowHeight="14.4" x14ac:dyDescent="0.3"/>
  <cols>
    <col min="1" max="1" width="16" customWidth="1"/>
    <col min="2" max="2" width="11.77734375" customWidth="1"/>
    <col min="4" max="4" width="12.33203125" customWidth="1"/>
    <col min="5" max="5" width="11.6640625" customWidth="1"/>
    <col min="6" max="6" width="14" customWidth="1"/>
    <col min="7" max="7" width="15.44140625" customWidth="1"/>
    <col min="8" max="8" width="13.6640625" customWidth="1"/>
    <col min="9" max="9" width="16.21875" customWidth="1"/>
    <col min="10" max="10" width="12.109375" customWidth="1"/>
    <col min="11" max="11" width="13.33203125" customWidth="1"/>
    <col min="12" max="13" width="9.5546875" bestFit="1" customWidth="1"/>
    <col min="15" max="15" width="20.109375" customWidth="1"/>
    <col min="16" max="16" width="18.109375" customWidth="1"/>
    <col min="18" max="18" width="12.5546875" customWidth="1"/>
    <col min="19" max="19" width="16.21875" customWidth="1"/>
    <col min="20" max="20" width="14.88671875" customWidth="1"/>
    <col min="21" max="21" width="16.332031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45292</v>
      </c>
      <c r="B2" s="1" t="s">
        <v>21</v>
      </c>
      <c r="C2" s="1" t="s">
        <v>22</v>
      </c>
      <c r="D2" s="1">
        <v>2024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6">
        <v>39</v>
      </c>
      <c r="K2" s="6">
        <v>6765</v>
      </c>
      <c r="L2" s="6">
        <f>J2*K2</f>
        <v>263835</v>
      </c>
      <c r="M2" s="6">
        <f>L2*0.75</f>
        <v>197876.25</v>
      </c>
      <c r="N2" s="6">
        <f>L2-M2</f>
        <v>65958.75</v>
      </c>
      <c r="O2" s="4">
        <f>N2/L2</f>
        <v>0.25</v>
      </c>
      <c r="P2" s="1" t="s">
        <v>28</v>
      </c>
      <c r="Q2" s="1" t="s">
        <v>29</v>
      </c>
      <c r="R2" s="6">
        <f>L2*1.1</f>
        <v>290218.5</v>
      </c>
      <c r="S2" s="6">
        <v>263835</v>
      </c>
      <c r="T2" s="5">
        <f>S2/R2</f>
        <v>0.90909090909090906</v>
      </c>
      <c r="U2" s="4">
        <f>L3/L2/L2</f>
        <v>1.6011456643004354E-6</v>
      </c>
    </row>
    <row r="3" spans="1:21" x14ac:dyDescent="0.3">
      <c r="A3" s="3">
        <v>45293</v>
      </c>
      <c r="B3" s="1" t="s">
        <v>21</v>
      </c>
      <c r="C3" s="1" t="s">
        <v>22</v>
      </c>
      <c r="D3" s="1">
        <v>2024</v>
      </c>
      <c r="E3" s="1" t="s">
        <v>30</v>
      </c>
      <c r="F3" s="1" t="s">
        <v>31</v>
      </c>
      <c r="G3" s="1" t="s">
        <v>32</v>
      </c>
      <c r="H3" s="1" t="s">
        <v>33</v>
      </c>
      <c r="I3" s="1" t="s">
        <v>34</v>
      </c>
      <c r="J3" s="1">
        <v>38</v>
      </c>
      <c r="K3" s="1">
        <v>2933</v>
      </c>
      <c r="L3" s="1">
        <f t="shared" ref="L3:L66" si="0">J3*K3</f>
        <v>111454</v>
      </c>
      <c r="M3" s="1">
        <f t="shared" ref="M3:M66" si="1">L3*0.75</f>
        <v>83590.5</v>
      </c>
      <c r="N3" s="1">
        <f t="shared" ref="N3:N66" si="2">L3-M3</f>
        <v>27863.5</v>
      </c>
      <c r="O3" s="4">
        <f t="shared" ref="O3:O66" si="3">N3/L3</f>
        <v>0.25</v>
      </c>
      <c r="P3" s="1" t="s">
        <v>28</v>
      </c>
      <c r="Q3" s="1" t="s">
        <v>29</v>
      </c>
      <c r="R3" s="1">
        <f t="shared" ref="R3:R66" si="4">L3*1.1</f>
        <v>122599.40000000001</v>
      </c>
      <c r="S3" s="1">
        <v>111454</v>
      </c>
      <c r="T3" s="5">
        <f t="shared" ref="T3:T66" si="5">S3/R3</f>
        <v>0.90909090909090906</v>
      </c>
      <c r="U3" s="4">
        <f t="shared" ref="U3:U66" si="6">L4/L3/L3</f>
        <v>6.4007597538295278E-5</v>
      </c>
    </row>
    <row r="4" spans="1:21" x14ac:dyDescent="0.3">
      <c r="A4" s="3">
        <v>45294</v>
      </c>
      <c r="B4" s="1" t="s">
        <v>21</v>
      </c>
      <c r="C4" s="1" t="s">
        <v>22</v>
      </c>
      <c r="D4" s="1">
        <v>2024</v>
      </c>
      <c r="E4" s="1" t="s">
        <v>23</v>
      </c>
      <c r="F4" s="1" t="s">
        <v>24</v>
      </c>
      <c r="G4" s="1" t="s">
        <v>35</v>
      </c>
      <c r="H4" s="1" t="s">
        <v>36</v>
      </c>
      <c r="I4" s="1" t="s">
        <v>37</v>
      </c>
      <c r="J4" s="1">
        <v>42</v>
      </c>
      <c r="K4" s="1">
        <v>18931</v>
      </c>
      <c r="L4" s="1">
        <f t="shared" si="0"/>
        <v>795102</v>
      </c>
      <c r="M4" s="1">
        <f t="shared" si="1"/>
        <v>596326.5</v>
      </c>
      <c r="N4" s="1">
        <f t="shared" si="2"/>
        <v>198775.5</v>
      </c>
      <c r="O4" s="4">
        <f t="shared" si="3"/>
        <v>0.25</v>
      </c>
      <c r="P4" s="1" t="s">
        <v>38</v>
      </c>
      <c r="Q4" s="1" t="s">
        <v>29</v>
      </c>
      <c r="R4" s="1">
        <f t="shared" si="4"/>
        <v>874612.20000000007</v>
      </c>
      <c r="S4" s="1">
        <v>795102</v>
      </c>
      <c r="T4" s="5">
        <f t="shared" si="5"/>
        <v>0.90909090909090906</v>
      </c>
      <c r="U4" s="4">
        <f t="shared" si="6"/>
        <v>1.9247463701730535E-8</v>
      </c>
    </row>
    <row r="5" spans="1:21" x14ac:dyDescent="0.3">
      <c r="A5" s="3">
        <v>45295</v>
      </c>
      <c r="B5" s="1" t="s">
        <v>21</v>
      </c>
      <c r="C5" s="1" t="s">
        <v>22</v>
      </c>
      <c r="D5" s="1">
        <v>2024</v>
      </c>
      <c r="E5" s="1" t="s">
        <v>30</v>
      </c>
      <c r="F5" s="1" t="s">
        <v>39</v>
      </c>
      <c r="G5" s="1" t="s">
        <v>40</v>
      </c>
      <c r="H5" s="1" t="s">
        <v>41</v>
      </c>
      <c r="I5" s="1" t="s">
        <v>42</v>
      </c>
      <c r="J5" s="1">
        <v>3</v>
      </c>
      <c r="K5" s="1">
        <v>4056</v>
      </c>
      <c r="L5" s="1">
        <f t="shared" si="0"/>
        <v>12168</v>
      </c>
      <c r="M5" s="1">
        <f t="shared" si="1"/>
        <v>9126</v>
      </c>
      <c r="N5" s="1">
        <f t="shared" si="2"/>
        <v>3042</v>
      </c>
      <c r="O5" s="4">
        <f t="shared" si="3"/>
        <v>0.25</v>
      </c>
      <c r="P5" s="1" t="s">
        <v>28</v>
      </c>
      <c r="Q5" s="1" t="s">
        <v>29</v>
      </c>
      <c r="R5" s="1">
        <f t="shared" si="4"/>
        <v>13384.800000000001</v>
      </c>
      <c r="S5" s="1">
        <v>12168</v>
      </c>
      <c r="T5" s="5">
        <f t="shared" si="5"/>
        <v>0.90909090909090906</v>
      </c>
      <c r="U5" s="4">
        <f t="shared" si="6"/>
        <v>5.4648032951780487E-4</v>
      </c>
    </row>
    <row r="6" spans="1:21" x14ac:dyDescent="0.3">
      <c r="A6" s="3">
        <v>45296</v>
      </c>
      <c r="B6" s="1" t="s">
        <v>21</v>
      </c>
      <c r="C6" s="1" t="s">
        <v>22</v>
      </c>
      <c r="D6" s="1">
        <v>2024</v>
      </c>
      <c r="E6" s="1" t="s">
        <v>23</v>
      </c>
      <c r="F6" s="1" t="s">
        <v>43</v>
      </c>
      <c r="G6" s="1" t="s">
        <v>44</v>
      </c>
      <c r="H6" s="1" t="s">
        <v>33</v>
      </c>
      <c r="I6" s="1" t="s">
        <v>45</v>
      </c>
      <c r="J6" s="1">
        <v>26</v>
      </c>
      <c r="K6" s="1">
        <v>3112</v>
      </c>
      <c r="L6" s="1">
        <f t="shared" si="0"/>
        <v>80912</v>
      </c>
      <c r="M6" s="1">
        <f t="shared" si="1"/>
        <v>60684</v>
      </c>
      <c r="N6" s="1">
        <f t="shared" si="2"/>
        <v>20228</v>
      </c>
      <c r="O6" s="4">
        <f t="shared" si="3"/>
        <v>0.25</v>
      </c>
      <c r="P6" s="1" t="s">
        <v>38</v>
      </c>
      <c r="Q6" s="1" t="s">
        <v>29</v>
      </c>
      <c r="R6" s="1">
        <f t="shared" si="4"/>
        <v>89003.200000000012</v>
      </c>
      <c r="S6" s="1">
        <v>80912</v>
      </c>
      <c r="T6" s="5">
        <f t="shared" si="5"/>
        <v>0.90909090909090895</v>
      </c>
      <c r="U6" s="4">
        <f t="shared" si="6"/>
        <v>1.4931985177166969E-4</v>
      </c>
    </row>
    <row r="7" spans="1:21" x14ac:dyDescent="0.3">
      <c r="A7" s="3">
        <v>45297</v>
      </c>
      <c r="B7" s="1" t="s">
        <v>21</v>
      </c>
      <c r="C7" s="1" t="s">
        <v>22</v>
      </c>
      <c r="D7" s="1">
        <v>2024</v>
      </c>
      <c r="E7" s="1" t="s">
        <v>30</v>
      </c>
      <c r="F7" s="1" t="s">
        <v>31</v>
      </c>
      <c r="G7" s="1" t="s">
        <v>35</v>
      </c>
      <c r="H7" s="1" t="s">
        <v>41</v>
      </c>
      <c r="I7" s="1" t="s">
        <v>46</v>
      </c>
      <c r="J7" s="1">
        <v>40</v>
      </c>
      <c r="K7" s="1">
        <v>24439</v>
      </c>
      <c r="L7" s="1">
        <f t="shared" si="0"/>
        <v>977560</v>
      </c>
      <c r="M7" s="1">
        <f t="shared" si="1"/>
        <v>733170</v>
      </c>
      <c r="N7" s="1">
        <f t="shared" si="2"/>
        <v>244390</v>
      </c>
      <c r="O7" s="4">
        <f t="shared" si="3"/>
        <v>0.25</v>
      </c>
      <c r="P7" s="1" t="s">
        <v>38</v>
      </c>
      <c r="Q7" s="1" t="s">
        <v>47</v>
      </c>
      <c r="R7" s="1">
        <f t="shared" si="4"/>
        <v>1075316</v>
      </c>
      <c r="S7" s="1">
        <v>977560</v>
      </c>
      <c r="T7" s="5">
        <f t="shared" si="5"/>
        <v>0.90909090909090906</v>
      </c>
      <c r="U7" s="4">
        <f t="shared" si="6"/>
        <v>1.2471605534524783E-6</v>
      </c>
    </row>
    <row r="8" spans="1:21" x14ac:dyDescent="0.3">
      <c r="A8" s="3">
        <v>45298</v>
      </c>
      <c r="B8" s="1" t="s">
        <v>21</v>
      </c>
      <c r="C8" s="1" t="s">
        <v>22</v>
      </c>
      <c r="D8" s="1">
        <v>2024</v>
      </c>
      <c r="E8" s="1" t="s">
        <v>48</v>
      </c>
      <c r="F8" s="1" t="s">
        <v>49</v>
      </c>
      <c r="G8" s="1" t="s">
        <v>44</v>
      </c>
      <c r="H8" s="1" t="s">
        <v>33</v>
      </c>
      <c r="I8" s="1" t="s">
        <v>34</v>
      </c>
      <c r="J8" s="1">
        <v>36</v>
      </c>
      <c r="K8" s="1">
        <v>33106</v>
      </c>
      <c r="L8" s="1">
        <f t="shared" si="0"/>
        <v>1191816</v>
      </c>
      <c r="M8" s="1">
        <f t="shared" si="1"/>
        <v>893862</v>
      </c>
      <c r="N8" s="1">
        <f t="shared" si="2"/>
        <v>297954</v>
      </c>
      <c r="O8" s="4">
        <f t="shared" si="3"/>
        <v>0.25</v>
      </c>
      <c r="P8" s="1" t="s">
        <v>38</v>
      </c>
      <c r="Q8" s="1" t="s">
        <v>47</v>
      </c>
      <c r="R8" s="1">
        <f t="shared" si="4"/>
        <v>1310997.6000000001</v>
      </c>
      <c r="S8" s="1">
        <v>1191816</v>
      </c>
      <c r="T8" s="5">
        <f t="shared" si="5"/>
        <v>0.90909090909090906</v>
      </c>
      <c r="U8" s="4">
        <f t="shared" si="6"/>
        <v>2.1433016105325001E-7</v>
      </c>
    </row>
    <row r="9" spans="1:21" x14ac:dyDescent="0.3">
      <c r="A9" s="3">
        <v>45299</v>
      </c>
      <c r="B9" s="1" t="s">
        <v>21</v>
      </c>
      <c r="C9" s="1" t="s">
        <v>22</v>
      </c>
      <c r="D9" s="1">
        <v>2024</v>
      </c>
      <c r="E9" s="1" t="s">
        <v>50</v>
      </c>
      <c r="F9" s="1" t="s">
        <v>51</v>
      </c>
      <c r="G9" s="1" t="s">
        <v>44</v>
      </c>
      <c r="H9" s="1" t="s">
        <v>36</v>
      </c>
      <c r="I9" s="1" t="s">
        <v>52</v>
      </c>
      <c r="J9" s="1">
        <v>24</v>
      </c>
      <c r="K9" s="1">
        <v>12685</v>
      </c>
      <c r="L9" s="1">
        <f t="shared" si="0"/>
        <v>304440</v>
      </c>
      <c r="M9" s="1">
        <f t="shared" si="1"/>
        <v>228330</v>
      </c>
      <c r="N9" s="1">
        <f t="shared" si="2"/>
        <v>76110</v>
      </c>
      <c r="O9" s="4">
        <f t="shared" si="3"/>
        <v>0.25</v>
      </c>
      <c r="P9" s="1" t="s">
        <v>38</v>
      </c>
      <c r="Q9" s="1" t="s">
        <v>47</v>
      </c>
      <c r="R9" s="1">
        <f t="shared" si="4"/>
        <v>334884</v>
      </c>
      <c r="S9" s="1">
        <v>304440</v>
      </c>
      <c r="T9" s="5">
        <f t="shared" si="5"/>
        <v>0.90909090909090906</v>
      </c>
      <c r="U9" s="4">
        <f t="shared" si="6"/>
        <v>6.543544452884331E-7</v>
      </c>
    </row>
    <row r="10" spans="1:21" x14ac:dyDescent="0.3">
      <c r="A10" s="3">
        <v>45300</v>
      </c>
      <c r="B10" s="1" t="s">
        <v>21</v>
      </c>
      <c r="C10" s="1" t="s">
        <v>22</v>
      </c>
      <c r="D10" s="1">
        <v>2024</v>
      </c>
      <c r="E10" s="1" t="s">
        <v>50</v>
      </c>
      <c r="F10" s="1" t="s">
        <v>51</v>
      </c>
      <c r="G10" s="1" t="s">
        <v>53</v>
      </c>
      <c r="H10" s="1" t="s">
        <v>36</v>
      </c>
      <c r="I10" s="1" t="s">
        <v>52</v>
      </c>
      <c r="J10" s="1">
        <v>24</v>
      </c>
      <c r="K10" s="1">
        <v>2527</v>
      </c>
      <c r="L10" s="1">
        <f t="shared" si="0"/>
        <v>60648</v>
      </c>
      <c r="M10" s="1">
        <f t="shared" si="1"/>
        <v>45486</v>
      </c>
      <c r="N10" s="1">
        <f t="shared" si="2"/>
        <v>15162</v>
      </c>
      <c r="O10" s="4">
        <f t="shared" si="3"/>
        <v>0.25</v>
      </c>
      <c r="P10" s="1" t="s">
        <v>28</v>
      </c>
      <c r="Q10" s="1" t="s">
        <v>29</v>
      </c>
      <c r="R10" s="1">
        <f t="shared" si="4"/>
        <v>66712.800000000003</v>
      </c>
      <c r="S10" s="1">
        <v>60648</v>
      </c>
      <c r="T10" s="5">
        <f t="shared" si="5"/>
        <v>0.90909090909090906</v>
      </c>
      <c r="U10" s="4">
        <f t="shared" si="6"/>
        <v>5.8800576819202806E-4</v>
      </c>
    </row>
    <row r="11" spans="1:21" x14ac:dyDescent="0.3">
      <c r="A11" s="3">
        <v>45301</v>
      </c>
      <c r="B11" s="1" t="s">
        <v>21</v>
      </c>
      <c r="C11" s="1" t="s">
        <v>22</v>
      </c>
      <c r="D11" s="1">
        <v>2024</v>
      </c>
      <c r="E11" s="1" t="s">
        <v>30</v>
      </c>
      <c r="F11" s="1" t="s">
        <v>54</v>
      </c>
      <c r="G11" s="1" t="s">
        <v>32</v>
      </c>
      <c r="H11" s="1" t="s">
        <v>33</v>
      </c>
      <c r="I11" s="1" t="s">
        <v>55</v>
      </c>
      <c r="J11" s="1">
        <v>41</v>
      </c>
      <c r="K11" s="1">
        <v>52751</v>
      </c>
      <c r="L11" s="1">
        <f t="shared" si="0"/>
        <v>2162791</v>
      </c>
      <c r="M11" s="1">
        <f t="shared" si="1"/>
        <v>1622093.25</v>
      </c>
      <c r="N11" s="1">
        <f t="shared" si="2"/>
        <v>540697.75</v>
      </c>
      <c r="O11" s="4">
        <f t="shared" si="3"/>
        <v>0.25</v>
      </c>
      <c r="P11" s="1" t="s">
        <v>38</v>
      </c>
      <c r="Q11" s="1" t="s">
        <v>47</v>
      </c>
      <c r="R11" s="1">
        <f t="shared" si="4"/>
        <v>2379070.1</v>
      </c>
      <c r="S11" s="1">
        <v>2162791</v>
      </c>
      <c r="T11" s="5">
        <f t="shared" si="5"/>
        <v>0.90909090909090906</v>
      </c>
      <c r="U11" s="4">
        <f t="shared" si="6"/>
        <v>4.1572024451247291E-8</v>
      </c>
    </row>
    <row r="12" spans="1:21" x14ac:dyDescent="0.3">
      <c r="A12" s="3">
        <v>45302</v>
      </c>
      <c r="B12" s="1" t="s">
        <v>21</v>
      </c>
      <c r="C12" s="1" t="s">
        <v>22</v>
      </c>
      <c r="D12" s="1">
        <v>2024</v>
      </c>
      <c r="E12" s="1" t="s">
        <v>50</v>
      </c>
      <c r="F12" s="1" t="s">
        <v>56</v>
      </c>
      <c r="G12" s="1" t="s">
        <v>25</v>
      </c>
      <c r="H12" s="1" t="s">
        <v>33</v>
      </c>
      <c r="I12" s="1" t="s">
        <v>55</v>
      </c>
      <c r="J12" s="1">
        <v>35</v>
      </c>
      <c r="K12" s="1">
        <v>5556</v>
      </c>
      <c r="L12" s="1">
        <f t="shared" si="0"/>
        <v>194460</v>
      </c>
      <c r="M12" s="1">
        <f t="shared" si="1"/>
        <v>145845</v>
      </c>
      <c r="N12" s="1">
        <f t="shared" si="2"/>
        <v>48615</v>
      </c>
      <c r="O12" s="4">
        <f t="shared" si="3"/>
        <v>0.25</v>
      </c>
      <c r="P12" s="1" t="s">
        <v>28</v>
      </c>
      <c r="Q12" s="1" t="s">
        <v>47</v>
      </c>
      <c r="R12" s="1">
        <f t="shared" si="4"/>
        <v>213906.00000000003</v>
      </c>
      <c r="S12" s="1">
        <v>194460</v>
      </c>
      <c r="T12" s="5">
        <f t="shared" si="5"/>
        <v>0.90909090909090895</v>
      </c>
      <c r="U12" s="4">
        <f t="shared" si="6"/>
        <v>4.4378095628842838E-5</v>
      </c>
    </row>
    <row r="13" spans="1:21" x14ac:dyDescent="0.3">
      <c r="A13" s="3">
        <v>45303</v>
      </c>
      <c r="B13" s="1" t="s">
        <v>21</v>
      </c>
      <c r="C13" s="1" t="s">
        <v>22</v>
      </c>
      <c r="D13" s="1">
        <v>2024</v>
      </c>
      <c r="E13" s="1" t="s">
        <v>30</v>
      </c>
      <c r="F13" s="1" t="s">
        <v>54</v>
      </c>
      <c r="G13" s="1" t="s">
        <v>57</v>
      </c>
      <c r="H13" s="1" t="s">
        <v>33</v>
      </c>
      <c r="I13" s="1" t="s">
        <v>45</v>
      </c>
      <c r="J13" s="1">
        <v>32</v>
      </c>
      <c r="K13" s="1">
        <v>52442</v>
      </c>
      <c r="L13" s="1">
        <f t="shared" si="0"/>
        <v>1678144</v>
      </c>
      <c r="M13" s="1">
        <f t="shared" si="1"/>
        <v>1258608</v>
      </c>
      <c r="N13" s="1">
        <f t="shared" si="2"/>
        <v>419536</v>
      </c>
      <c r="O13" s="4">
        <f t="shared" si="3"/>
        <v>0.25</v>
      </c>
      <c r="P13" s="1" t="s">
        <v>28</v>
      </c>
      <c r="Q13" s="1" t="s">
        <v>47</v>
      </c>
      <c r="R13" s="1">
        <f t="shared" si="4"/>
        <v>1845958.4000000001</v>
      </c>
      <c r="S13" s="1">
        <v>1678144</v>
      </c>
      <c r="T13" s="5">
        <f t="shared" si="5"/>
        <v>0.90909090909090906</v>
      </c>
      <c r="U13" s="4">
        <f t="shared" si="6"/>
        <v>1.7810660706081604E-7</v>
      </c>
    </row>
    <row r="14" spans="1:21" x14ac:dyDescent="0.3">
      <c r="A14" s="3">
        <v>45304</v>
      </c>
      <c r="B14" s="1" t="s">
        <v>21</v>
      </c>
      <c r="C14" s="1" t="s">
        <v>22</v>
      </c>
      <c r="D14" s="1">
        <v>2024</v>
      </c>
      <c r="E14" s="1" t="s">
        <v>50</v>
      </c>
      <c r="F14" s="1" t="s">
        <v>56</v>
      </c>
      <c r="G14" s="1" t="s">
        <v>40</v>
      </c>
      <c r="H14" s="1" t="s">
        <v>26</v>
      </c>
      <c r="I14" s="1" t="s">
        <v>58</v>
      </c>
      <c r="J14" s="1">
        <v>22</v>
      </c>
      <c r="K14" s="1">
        <v>22799</v>
      </c>
      <c r="L14" s="1">
        <f t="shared" si="0"/>
        <v>501578</v>
      </c>
      <c r="M14" s="1">
        <f t="shared" si="1"/>
        <v>376183.5</v>
      </c>
      <c r="N14" s="1">
        <f t="shared" si="2"/>
        <v>125394.5</v>
      </c>
      <c r="O14" s="4">
        <f t="shared" si="3"/>
        <v>0.25</v>
      </c>
      <c r="P14" s="1" t="s">
        <v>28</v>
      </c>
      <c r="Q14" s="1" t="s">
        <v>47</v>
      </c>
      <c r="R14" s="1">
        <f t="shared" si="4"/>
        <v>551735.80000000005</v>
      </c>
      <c r="S14" s="1">
        <v>501578</v>
      </c>
      <c r="T14" s="5">
        <f t="shared" si="5"/>
        <v>0.90909090909090906</v>
      </c>
      <c r="U14" s="4">
        <f t="shared" si="6"/>
        <v>3.76326478926838E-6</v>
      </c>
    </row>
    <row r="15" spans="1:21" x14ac:dyDescent="0.3">
      <c r="A15" s="3">
        <v>45305</v>
      </c>
      <c r="B15" s="1" t="s">
        <v>21</v>
      </c>
      <c r="C15" s="1" t="s">
        <v>22</v>
      </c>
      <c r="D15" s="1">
        <v>2024</v>
      </c>
      <c r="E15" s="1" t="s">
        <v>23</v>
      </c>
      <c r="F15" s="1" t="s">
        <v>43</v>
      </c>
      <c r="G15" s="1" t="s">
        <v>57</v>
      </c>
      <c r="H15" s="1" t="s">
        <v>36</v>
      </c>
      <c r="I15" s="1" t="s">
        <v>52</v>
      </c>
      <c r="J15" s="1">
        <v>39</v>
      </c>
      <c r="K15" s="1">
        <v>24276</v>
      </c>
      <c r="L15" s="1">
        <f t="shared" si="0"/>
        <v>946764</v>
      </c>
      <c r="M15" s="1">
        <f t="shared" si="1"/>
        <v>710073</v>
      </c>
      <c r="N15" s="1">
        <f t="shared" si="2"/>
        <v>236691</v>
      </c>
      <c r="O15" s="4">
        <f t="shared" si="3"/>
        <v>0.25</v>
      </c>
      <c r="P15" s="1" t="s">
        <v>28</v>
      </c>
      <c r="Q15" s="1" t="s">
        <v>47</v>
      </c>
      <c r="R15" s="1">
        <f t="shared" si="4"/>
        <v>1041440.4000000001</v>
      </c>
      <c r="S15" s="1">
        <v>946764</v>
      </c>
      <c r="T15" s="5">
        <f t="shared" si="5"/>
        <v>0.90909090909090895</v>
      </c>
      <c r="U15" s="4">
        <f t="shared" si="6"/>
        <v>5.4284425386198703E-7</v>
      </c>
    </row>
    <row r="16" spans="1:21" x14ac:dyDescent="0.3">
      <c r="A16" s="3">
        <v>45306</v>
      </c>
      <c r="B16" s="1" t="s">
        <v>21</v>
      </c>
      <c r="C16" s="1" t="s">
        <v>22</v>
      </c>
      <c r="D16" s="1">
        <v>2024</v>
      </c>
      <c r="E16" s="1" t="s">
        <v>30</v>
      </c>
      <c r="F16" s="1" t="s">
        <v>39</v>
      </c>
      <c r="G16" s="1" t="s">
        <v>59</v>
      </c>
      <c r="H16" s="1" t="s">
        <v>41</v>
      </c>
      <c r="I16" s="1" t="s">
        <v>60</v>
      </c>
      <c r="J16" s="1">
        <v>9</v>
      </c>
      <c r="K16" s="1">
        <v>54065</v>
      </c>
      <c r="L16" s="1">
        <f t="shared" si="0"/>
        <v>486585</v>
      </c>
      <c r="M16" s="1">
        <f t="shared" si="1"/>
        <v>364938.75</v>
      </c>
      <c r="N16" s="1">
        <f t="shared" si="2"/>
        <v>121646.25</v>
      </c>
      <c r="O16" s="4">
        <f t="shared" si="3"/>
        <v>0.25</v>
      </c>
      <c r="P16" s="1" t="s">
        <v>28</v>
      </c>
      <c r="Q16" s="1" t="s">
        <v>47</v>
      </c>
      <c r="R16" s="1">
        <f t="shared" si="4"/>
        <v>535243.5</v>
      </c>
      <c r="S16" s="1">
        <v>486585</v>
      </c>
      <c r="T16" s="5">
        <f t="shared" si="5"/>
        <v>0.90909090909090906</v>
      </c>
      <c r="U16" s="4">
        <f t="shared" si="6"/>
        <v>7.3987425484657772E-6</v>
      </c>
    </row>
    <row r="17" spans="1:21" x14ac:dyDescent="0.3">
      <c r="A17" s="3">
        <v>45307</v>
      </c>
      <c r="B17" s="1" t="s">
        <v>21</v>
      </c>
      <c r="C17" s="1" t="s">
        <v>22</v>
      </c>
      <c r="D17" s="1">
        <v>2024</v>
      </c>
      <c r="E17" s="1" t="s">
        <v>61</v>
      </c>
      <c r="F17" s="1" t="s">
        <v>62</v>
      </c>
      <c r="G17" s="1" t="s">
        <v>35</v>
      </c>
      <c r="H17" s="1" t="s">
        <v>33</v>
      </c>
      <c r="I17" s="1" t="s">
        <v>34</v>
      </c>
      <c r="J17" s="1">
        <v>39</v>
      </c>
      <c r="K17" s="1">
        <v>44917</v>
      </c>
      <c r="L17" s="1">
        <f t="shared" si="0"/>
        <v>1751763</v>
      </c>
      <c r="M17" s="1">
        <f t="shared" si="1"/>
        <v>1313822.25</v>
      </c>
      <c r="N17" s="1">
        <f t="shared" si="2"/>
        <v>437940.75</v>
      </c>
      <c r="O17" s="4">
        <f t="shared" si="3"/>
        <v>0.25</v>
      </c>
      <c r="P17" s="1" t="s">
        <v>28</v>
      </c>
      <c r="Q17" s="1" t="s">
        <v>29</v>
      </c>
      <c r="R17" s="1">
        <f t="shared" si="4"/>
        <v>1926939.3</v>
      </c>
      <c r="S17" s="1">
        <v>1751763</v>
      </c>
      <c r="T17" s="5">
        <f t="shared" si="5"/>
        <v>0.90909090909090906</v>
      </c>
      <c r="U17" s="4">
        <f t="shared" si="6"/>
        <v>8.2297445817538941E-8</v>
      </c>
    </row>
    <row r="18" spans="1:21" x14ac:dyDescent="0.3">
      <c r="A18" s="3">
        <v>45308</v>
      </c>
      <c r="B18" s="1" t="s">
        <v>21</v>
      </c>
      <c r="C18" s="1" t="s">
        <v>22</v>
      </c>
      <c r="D18" s="1">
        <v>2024</v>
      </c>
      <c r="E18" s="1" t="s">
        <v>48</v>
      </c>
      <c r="F18" s="1" t="s">
        <v>49</v>
      </c>
      <c r="G18" s="1" t="s">
        <v>59</v>
      </c>
      <c r="H18" s="1" t="s">
        <v>36</v>
      </c>
      <c r="I18" s="1" t="s">
        <v>52</v>
      </c>
      <c r="J18" s="1">
        <v>32</v>
      </c>
      <c r="K18" s="1">
        <v>7892</v>
      </c>
      <c r="L18" s="1">
        <f t="shared" si="0"/>
        <v>252544</v>
      </c>
      <c r="M18" s="1">
        <f t="shared" si="1"/>
        <v>189408</v>
      </c>
      <c r="N18" s="1">
        <f t="shared" si="2"/>
        <v>63136</v>
      </c>
      <c r="O18" s="4">
        <f t="shared" si="3"/>
        <v>0.25</v>
      </c>
      <c r="P18" s="1" t="s">
        <v>38</v>
      </c>
      <c r="Q18" s="1" t="s">
        <v>47</v>
      </c>
      <c r="R18" s="1">
        <f t="shared" si="4"/>
        <v>277798.40000000002</v>
      </c>
      <c r="S18" s="1">
        <v>252544</v>
      </c>
      <c r="T18" s="5">
        <f t="shared" si="5"/>
        <v>0.90909090909090906</v>
      </c>
      <c r="U18" s="4">
        <f t="shared" si="6"/>
        <v>1.6843614583271786E-6</v>
      </c>
    </row>
    <row r="19" spans="1:21" x14ac:dyDescent="0.3">
      <c r="A19" s="3">
        <v>45309</v>
      </c>
      <c r="B19" s="1" t="s">
        <v>21</v>
      </c>
      <c r="C19" s="1" t="s">
        <v>22</v>
      </c>
      <c r="D19" s="1">
        <v>2024</v>
      </c>
      <c r="E19" s="1" t="s">
        <v>23</v>
      </c>
      <c r="F19" s="1" t="s">
        <v>63</v>
      </c>
      <c r="G19" s="1" t="s">
        <v>25</v>
      </c>
      <c r="H19" s="1" t="s">
        <v>36</v>
      </c>
      <c r="I19" s="1" t="s">
        <v>52</v>
      </c>
      <c r="J19" s="1">
        <v>38</v>
      </c>
      <c r="K19" s="1">
        <v>2827</v>
      </c>
      <c r="L19" s="1">
        <f t="shared" si="0"/>
        <v>107426</v>
      </c>
      <c r="M19" s="1">
        <f t="shared" si="1"/>
        <v>80569.5</v>
      </c>
      <c r="N19" s="1">
        <f t="shared" si="2"/>
        <v>26856.5</v>
      </c>
      <c r="O19" s="4">
        <f t="shared" si="3"/>
        <v>0.25</v>
      </c>
      <c r="P19" s="1" t="s">
        <v>38</v>
      </c>
      <c r="Q19" s="1" t="s">
        <v>47</v>
      </c>
      <c r="R19" s="1">
        <f t="shared" si="4"/>
        <v>118168.6</v>
      </c>
      <c r="S19" s="1">
        <v>107426</v>
      </c>
      <c r="T19" s="5">
        <f t="shared" si="5"/>
        <v>0.90909090909090906</v>
      </c>
      <c r="U19" s="4">
        <f t="shared" si="6"/>
        <v>1.3078724576650621E-5</v>
      </c>
    </row>
    <row r="20" spans="1:21" x14ac:dyDescent="0.3">
      <c r="A20" s="3">
        <v>45310</v>
      </c>
      <c r="B20" s="1" t="s">
        <v>21</v>
      </c>
      <c r="C20" s="1" t="s">
        <v>22</v>
      </c>
      <c r="D20" s="1">
        <v>2024</v>
      </c>
      <c r="E20" s="1" t="s">
        <v>61</v>
      </c>
      <c r="F20" s="1" t="s">
        <v>62</v>
      </c>
      <c r="G20" s="1" t="s">
        <v>59</v>
      </c>
      <c r="H20" s="1" t="s">
        <v>41</v>
      </c>
      <c r="I20" s="1" t="s">
        <v>42</v>
      </c>
      <c r="J20" s="1">
        <v>3</v>
      </c>
      <c r="K20" s="1">
        <v>50311</v>
      </c>
      <c r="L20" s="1">
        <f t="shared" si="0"/>
        <v>150933</v>
      </c>
      <c r="M20" s="1">
        <f t="shared" si="1"/>
        <v>113199.75</v>
      </c>
      <c r="N20" s="1">
        <f t="shared" si="2"/>
        <v>37733.25</v>
      </c>
      <c r="O20" s="4">
        <f t="shared" si="3"/>
        <v>0.25</v>
      </c>
      <c r="P20" s="1" t="s">
        <v>38</v>
      </c>
      <c r="Q20" s="1" t="s">
        <v>29</v>
      </c>
      <c r="R20" s="1">
        <f t="shared" si="4"/>
        <v>166026.30000000002</v>
      </c>
      <c r="S20" s="1">
        <v>150933</v>
      </c>
      <c r="T20" s="5">
        <f t="shared" si="5"/>
        <v>0.90909090909090895</v>
      </c>
      <c r="U20" s="4">
        <f t="shared" si="6"/>
        <v>1.0989970691328885E-5</v>
      </c>
    </row>
    <row r="21" spans="1:21" x14ac:dyDescent="0.3">
      <c r="A21" s="3">
        <v>45311</v>
      </c>
      <c r="B21" s="1" t="s">
        <v>21</v>
      </c>
      <c r="C21" s="1" t="s">
        <v>22</v>
      </c>
      <c r="D21" s="1">
        <v>2024</v>
      </c>
      <c r="E21" s="1" t="s">
        <v>23</v>
      </c>
      <c r="F21" s="1" t="s">
        <v>63</v>
      </c>
      <c r="G21" s="1" t="s">
        <v>40</v>
      </c>
      <c r="H21" s="1" t="s">
        <v>26</v>
      </c>
      <c r="I21" s="1" t="s">
        <v>64</v>
      </c>
      <c r="J21" s="1">
        <v>40</v>
      </c>
      <c r="K21" s="1">
        <v>6259</v>
      </c>
      <c r="L21" s="1">
        <f t="shared" si="0"/>
        <v>250360</v>
      </c>
      <c r="M21" s="1">
        <f t="shared" si="1"/>
        <v>187770</v>
      </c>
      <c r="N21" s="1">
        <f t="shared" si="2"/>
        <v>62590</v>
      </c>
      <c r="O21" s="4">
        <f t="shared" si="3"/>
        <v>0.25</v>
      </c>
      <c r="P21" s="1" t="s">
        <v>38</v>
      </c>
      <c r="Q21" s="1" t="s">
        <v>29</v>
      </c>
      <c r="R21" s="1">
        <f t="shared" si="4"/>
        <v>275396</v>
      </c>
      <c r="S21" s="1">
        <v>250360</v>
      </c>
      <c r="T21" s="5">
        <f t="shared" si="5"/>
        <v>0.90909090909090906</v>
      </c>
      <c r="U21" s="4">
        <f t="shared" si="6"/>
        <v>8.0574179285040913E-6</v>
      </c>
    </row>
    <row r="22" spans="1:21" x14ac:dyDescent="0.3">
      <c r="A22" s="3">
        <v>45312</v>
      </c>
      <c r="B22" s="1" t="s">
        <v>21</v>
      </c>
      <c r="C22" s="1" t="s">
        <v>22</v>
      </c>
      <c r="D22" s="1">
        <v>2024</v>
      </c>
      <c r="E22" s="1" t="s">
        <v>48</v>
      </c>
      <c r="F22" s="1" t="s">
        <v>65</v>
      </c>
      <c r="G22" s="1" t="s">
        <v>57</v>
      </c>
      <c r="H22" s="1" t="s">
        <v>36</v>
      </c>
      <c r="I22" s="1" t="s">
        <v>37</v>
      </c>
      <c r="J22" s="1">
        <v>16</v>
      </c>
      <c r="K22" s="1">
        <v>31565</v>
      </c>
      <c r="L22" s="1">
        <f t="shared" si="0"/>
        <v>505040</v>
      </c>
      <c r="M22" s="1">
        <f t="shared" si="1"/>
        <v>378780</v>
      </c>
      <c r="N22" s="1">
        <f t="shared" si="2"/>
        <v>126260</v>
      </c>
      <c r="O22" s="4">
        <f t="shared" si="3"/>
        <v>0.25</v>
      </c>
      <c r="P22" s="1" t="s">
        <v>38</v>
      </c>
      <c r="Q22" s="1" t="s">
        <v>47</v>
      </c>
      <c r="R22" s="1">
        <f t="shared" si="4"/>
        <v>555544</v>
      </c>
      <c r="S22" s="1">
        <v>505040</v>
      </c>
      <c r="T22" s="5">
        <f t="shared" si="5"/>
        <v>0.90909090909090906</v>
      </c>
      <c r="U22" s="4">
        <f t="shared" si="6"/>
        <v>2.7875203596409682E-7</v>
      </c>
    </row>
    <row r="23" spans="1:21" x14ac:dyDescent="0.3">
      <c r="A23" s="3">
        <v>45313</v>
      </c>
      <c r="B23" s="1" t="s">
        <v>21</v>
      </c>
      <c r="C23" s="1" t="s">
        <v>22</v>
      </c>
      <c r="D23" s="1">
        <v>2024</v>
      </c>
      <c r="E23" s="1" t="s">
        <v>23</v>
      </c>
      <c r="F23" s="1" t="s">
        <v>24</v>
      </c>
      <c r="G23" s="1" t="s">
        <v>32</v>
      </c>
      <c r="H23" s="1" t="s">
        <v>41</v>
      </c>
      <c r="I23" s="1" t="s">
        <v>60</v>
      </c>
      <c r="J23" s="1">
        <v>9</v>
      </c>
      <c r="K23" s="1">
        <v>7900</v>
      </c>
      <c r="L23" s="1">
        <f t="shared" si="0"/>
        <v>71100</v>
      </c>
      <c r="M23" s="1">
        <f t="shared" si="1"/>
        <v>53325</v>
      </c>
      <c r="N23" s="1">
        <f t="shared" si="2"/>
        <v>17775</v>
      </c>
      <c r="O23" s="4">
        <f t="shared" si="3"/>
        <v>0.25</v>
      </c>
      <c r="P23" s="1" t="s">
        <v>38</v>
      </c>
      <c r="Q23" s="1" t="s">
        <v>47</v>
      </c>
      <c r="R23" s="1">
        <f t="shared" si="4"/>
        <v>78210</v>
      </c>
      <c r="S23" s="1">
        <v>71100</v>
      </c>
      <c r="T23" s="5">
        <f t="shared" si="5"/>
        <v>0.90909090909090906</v>
      </c>
      <c r="U23" s="4">
        <f t="shared" si="6"/>
        <v>4.5969999268081834E-4</v>
      </c>
    </row>
    <row r="24" spans="1:21" x14ac:dyDescent="0.3">
      <c r="A24" s="3">
        <v>45314</v>
      </c>
      <c r="B24" s="1" t="s">
        <v>21</v>
      </c>
      <c r="C24" s="1" t="s">
        <v>22</v>
      </c>
      <c r="D24" s="1">
        <v>2024</v>
      </c>
      <c r="E24" s="1" t="s">
        <v>61</v>
      </c>
      <c r="F24" s="1" t="s">
        <v>66</v>
      </c>
      <c r="G24" s="1" t="s">
        <v>35</v>
      </c>
      <c r="H24" s="1" t="s">
        <v>41</v>
      </c>
      <c r="I24" s="1" t="s">
        <v>46</v>
      </c>
      <c r="J24" s="1">
        <v>40</v>
      </c>
      <c r="K24" s="1">
        <v>58097</v>
      </c>
      <c r="L24" s="1">
        <f t="shared" si="0"/>
        <v>2323880</v>
      </c>
      <c r="M24" s="1">
        <f t="shared" si="1"/>
        <v>1742910</v>
      </c>
      <c r="N24" s="1">
        <f t="shared" si="2"/>
        <v>580970</v>
      </c>
      <c r="O24" s="4">
        <f t="shared" si="3"/>
        <v>0.25</v>
      </c>
      <c r="P24" s="1" t="s">
        <v>38</v>
      </c>
      <c r="Q24" s="1" t="s">
        <v>29</v>
      </c>
      <c r="R24" s="1">
        <f t="shared" si="4"/>
        <v>2556268</v>
      </c>
      <c r="S24" s="1">
        <v>2323880</v>
      </c>
      <c r="T24" s="5">
        <f t="shared" si="5"/>
        <v>0.90909090909090906</v>
      </c>
      <c r="U24" s="4">
        <f t="shared" si="6"/>
        <v>2.2125378882024246E-7</v>
      </c>
    </row>
    <row r="25" spans="1:21" x14ac:dyDescent="0.3">
      <c r="A25" s="3">
        <v>45315</v>
      </c>
      <c r="B25" s="1" t="s">
        <v>21</v>
      </c>
      <c r="C25" s="1" t="s">
        <v>22</v>
      </c>
      <c r="D25" s="1">
        <v>2024</v>
      </c>
      <c r="E25" s="1" t="s">
        <v>48</v>
      </c>
      <c r="F25" s="1" t="s">
        <v>49</v>
      </c>
      <c r="G25" s="1" t="s">
        <v>59</v>
      </c>
      <c r="H25" s="1" t="s">
        <v>36</v>
      </c>
      <c r="I25" s="1" t="s">
        <v>52</v>
      </c>
      <c r="J25" s="1">
        <v>41</v>
      </c>
      <c r="K25" s="1">
        <v>29143</v>
      </c>
      <c r="L25" s="1">
        <f t="shared" si="0"/>
        <v>1194863</v>
      </c>
      <c r="M25" s="1">
        <f t="shared" si="1"/>
        <v>896147.25</v>
      </c>
      <c r="N25" s="1">
        <f t="shared" si="2"/>
        <v>298715.75</v>
      </c>
      <c r="O25" s="4">
        <f t="shared" si="3"/>
        <v>0.25</v>
      </c>
      <c r="P25" s="1" t="s">
        <v>28</v>
      </c>
      <c r="Q25" s="1" t="s">
        <v>47</v>
      </c>
      <c r="R25" s="1">
        <f t="shared" si="4"/>
        <v>1314349.3</v>
      </c>
      <c r="S25" s="1">
        <v>1194863</v>
      </c>
      <c r="T25" s="5">
        <f t="shared" si="5"/>
        <v>0.90909090909090906</v>
      </c>
      <c r="U25" s="4">
        <f t="shared" si="6"/>
        <v>3.1327362567421569E-7</v>
      </c>
    </row>
    <row r="26" spans="1:21" x14ac:dyDescent="0.3">
      <c r="A26" s="3">
        <v>45316</v>
      </c>
      <c r="B26" s="1" t="s">
        <v>21</v>
      </c>
      <c r="C26" s="1" t="s">
        <v>22</v>
      </c>
      <c r="D26" s="1">
        <v>2024</v>
      </c>
      <c r="E26" s="1" t="s">
        <v>30</v>
      </c>
      <c r="F26" s="1" t="s">
        <v>54</v>
      </c>
      <c r="G26" s="1" t="s">
        <v>35</v>
      </c>
      <c r="H26" s="1" t="s">
        <v>41</v>
      </c>
      <c r="I26" s="1" t="s">
        <v>60</v>
      </c>
      <c r="J26" s="1">
        <v>22</v>
      </c>
      <c r="K26" s="1">
        <v>20330</v>
      </c>
      <c r="L26" s="1">
        <f t="shared" si="0"/>
        <v>447260</v>
      </c>
      <c r="M26" s="1">
        <f t="shared" si="1"/>
        <v>335445</v>
      </c>
      <c r="N26" s="1">
        <f t="shared" si="2"/>
        <v>111815</v>
      </c>
      <c r="O26" s="4">
        <f t="shared" si="3"/>
        <v>0.25</v>
      </c>
      <c r="P26" s="1" t="s">
        <v>38</v>
      </c>
      <c r="Q26" s="1" t="s">
        <v>47</v>
      </c>
      <c r="R26" s="1">
        <f t="shared" si="4"/>
        <v>491986.00000000006</v>
      </c>
      <c r="S26" s="1">
        <v>447260</v>
      </c>
      <c r="T26" s="5">
        <f t="shared" si="5"/>
        <v>0.90909090909090895</v>
      </c>
      <c r="U26" s="4">
        <f t="shared" si="6"/>
        <v>5.6394296040588332E-6</v>
      </c>
    </row>
    <row r="27" spans="1:21" x14ac:dyDescent="0.3">
      <c r="A27" s="3">
        <v>45317</v>
      </c>
      <c r="B27" s="1" t="s">
        <v>21</v>
      </c>
      <c r="C27" s="1" t="s">
        <v>22</v>
      </c>
      <c r="D27" s="1">
        <v>2024</v>
      </c>
      <c r="E27" s="1" t="s">
        <v>30</v>
      </c>
      <c r="F27" s="1" t="s">
        <v>39</v>
      </c>
      <c r="G27" s="1" t="s">
        <v>44</v>
      </c>
      <c r="H27" s="1" t="s">
        <v>26</v>
      </c>
      <c r="I27" s="1" t="s">
        <v>64</v>
      </c>
      <c r="J27" s="1">
        <v>28</v>
      </c>
      <c r="K27" s="1">
        <v>40290</v>
      </c>
      <c r="L27" s="1">
        <f t="shared" si="0"/>
        <v>1128120</v>
      </c>
      <c r="M27" s="1">
        <f t="shared" si="1"/>
        <v>846090</v>
      </c>
      <c r="N27" s="1">
        <f t="shared" si="2"/>
        <v>282030</v>
      </c>
      <c r="O27" s="4">
        <f t="shared" si="3"/>
        <v>0.25</v>
      </c>
      <c r="P27" s="1" t="s">
        <v>28</v>
      </c>
      <c r="Q27" s="1" t="s">
        <v>47</v>
      </c>
      <c r="R27" s="1">
        <f t="shared" si="4"/>
        <v>1240932</v>
      </c>
      <c r="S27" s="1">
        <v>1128120</v>
      </c>
      <c r="T27" s="5">
        <f t="shared" si="5"/>
        <v>0.90909090909090906</v>
      </c>
      <c r="U27" s="4">
        <f t="shared" si="6"/>
        <v>4.0909524470944365E-7</v>
      </c>
    </row>
    <row r="28" spans="1:21" x14ac:dyDescent="0.3">
      <c r="A28" s="3">
        <v>45318</v>
      </c>
      <c r="B28" s="1" t="s">
        <v>21</v>
      </c>
      <c r="C28" s="1" t="s">
        <v>22</v>
      </c>
      <c r="D28" s="1">
        <v>2024</v>
      </c>
      <c r="E28" s="1" t="s">
        <v>30</v>
      </c>
      <c r="F28" s="1" t="s">
        <v>54</v>
      </c>
      <c r="G28" s="1" t="s">
        <v>35</v>
      </c>
      <c r="H28" s="1" t="s">
        <v>41</v>
      </c>
      <c r="I28" s="1" t="s">
        <v>46</v>
      </c>
      <c r="J28" s="1">
        <v>29</v>
      </c>
      <c r="K28" s="1">
        <v>17953</v>
      </c>
      <c r="L28" s="1">
        <f t="shared" si="0"/>
        <v>520637</v>
      </c>
      <c r="M28" s="1">
        <f t="shared" si="1"/>
        <v>390477.75</v>
      </c>
      <c r="N28" s="1">
        <f t="shared" si="2"/>
        <v>130159.25</v>
      </c>
      <c r="O28" s="4">
        <f t="shared" si="3"/>
        <v>0.25</v>
      </c>
      <c r="P28" s="1" t="s">
        <v>28</v>
      </c>
      <c r="Q28" s="1" t="s">
        <v>47</v>
      </c>
      <c r="R28" s="1">
        <f t="shared" si="4"/>
        <v>572700.70000000007</v>
      </c>
      <c r="S28" s="1">
        <v>520637</v>
      </c>
      <c r="T28" s="5">
        <f t="shared" si="5"/>
        <v>0.90909090909090895</v>
      </c>
      <c r="U28" s="4">
        <f t="shared" si="6"/>
        <v>7.1807654318959656E-6</v>
      </c>
    </row>
    <row r="29" spans="1:21" x14ac:dyDescent="0.3">
      <c r="A29" s="3">
        <v>45319</v>
      </c>
      <c r="B29" s="1" t="s">
        <v>21</v>
      </c>
      <c r="C29" s="1" t="s">
        <v>22</v>
      </c>
      <c r="D29" s="1">
        <v>2024</v>
      </c>
      <c r="E29" s="1" t="s">
        <v>61</v>
      </c>
      <c r="F29" s="1" t="s">
        <v>67</v>
      </c>
      <c r="G29" s="1" t="s">
        <v>32</v>
      </c>
      <c r="H29" s="1" t="s">
        <v>36</v>
      </c>
      <c r="I29" s="1" t="s">
        <v>37</v>
      </c>
      <c r="J29" s="1">
        <v>33</v>
      </c>
      <c r="K29" s="1">
        <v>58983</v>
      </c>
      <c r="L29" s="1">
        <f t="shared" si="0"/>
        <v>1946439</v>
      </c>
      <c r="M29" s="1">
        <f t="shared" si="1"/>
        <v>1459829.25</v>
      </c>
      <c r="N29" s="1">
        <f t="shared" si="2"/>
        <v>486609.75</v>
      </c>
      <c r="O29" s="4">
        <f t="shared" si="3"/>
        <v>0.25</v>
      </c>
      <c r="P29" s="1" t="s">
        <v>28</v>
      </c>
      <c r="Q29" s="1" t="s">
        <v>47</v>
      </c>
      <c r="R29" s="1">
        <f t="shared" si="4"/>
        <v>2141082.9000000004</v>
      </c>
      <c r="S29" s="1">
        <v>1946439</v>
      </c>
      <c r="T29" s="5">
        <f t="shared" si="5"/>
        <v>0.90909090909090895</v>
      </c>
      <c r="U29" s="4">
        <f t="shared" si="6"/>
        <v>2.7843612420210362E-8</v>
      </c>
    </row>
    <row r="30" spans="1:21" x14ac:dyDescent="0.3">
      <c r="A30" s="3">
        <v>45320</v>
      </c>
      <c r="B30" s="1" t="s">
        <v>21</v>
      </c>
      <c r="C30" s="1" t="s">
        <v>22</v>
      </c>
      <c r="D30" s="1">
        <v>2024</v>
      </c>
      <c r="E30" s="1" t="s">
        <v>48</v>
      </c>
      <c r="F30" s="1" t="s">
        <v>68</v>
      </c>
      <c r="G30" s="1" t="s">
        <v>57</v>
      </c>
      <c r="H30" s="1" t="s">
        <v>36</v>
      </c>
      <c r="I30" s="1" t="s">
        <v>69</v>
      </c>
      <c r="J30" s="1">
        <v>3</v>
      </c>
      <c r="K30" s="1">
        <v>35163</v>
      </c>
      <c r="L30" s="1">
        <f t="shared" si="0"/>
        <v>105489</v>
      </c>
      <c r="M30" s="1">
        <f t="shared" si="1"/>
        <v>79116.75</v>
      </c>
      <c r="N30" s="1">
        <f t="shared" si="2"/>
        <v>26372.25</v>
      </c>
      <c r="O30" s="4">
        <f t="shared" si="3"/>
        <v>0.25</v>
      </c>
      <c r="P30" s="1" t="s">
        <v>38</v>
      </c>
      <c r="Q30" s="1" t="s">
        <v>47</v>
      </c>
      <c r="R30" s="1">
        <f t="shared" si="4"/>
        <v>116037.90000000001</v>
      </c>
      <c r="S30" s="1">
        <v>105489</v>
      </c>
      <c r="T30" s="5">
        <f t="shared" si="5"/>
        <v>0.90909090909090906</v>
      </c>
      <c r="U30" s="4">
        <f t="shared" si="6"/>
        <v>1.4868534675311758E-4</v>
      </c>
    </row>
    <row r="31" spans="1:21" x14ac:dyDescent="0.3">
      <c r="A31" s="3">
        <v>45321</v>
      </c>
      <c r="B31" s="1" t="s">
        <v>21</v>
      </c>
      <c r="C31" s="1" t="s">
        <v>22</v>
      </c>
      <c r="D31" s="1">
        <v>2024</v>
      </c>
      <c r="E31" s="1" t="s">
        <v>30</v>
      </c>
      <c r="F31" s="1" t="s">
        <v>31</v>
      </c>
      <c r="G31" s="1" t="s">
        <v>44</v>
      </c>
      <c r="H31" s="1" t="s">
        <v>33</v>
      </c>
      <c r="I31" s="1" t="s">
        <v>45</v>
      </c>
      <c r="J31" s="1">
        <v>40</v>
      </c>
      <c r="K31" s="1">
        <v>41364</v>
      </c>
      <c r="L31" s="1">
        <f t="shared" si="0"/>
        <v>1654560</v>
      </c>
      <c r="M31" s="1">
        <f t="shared" si="1"/>
        <v>1240920</v>
      </c>
      <c r="N31" s="1">
        <f t="shared" si="2"/>
        <v>413640</v>
      </c>
      <c r="O31" s="4">
        <f t="shared" si="3"/>
        <v>0.25</v>
      </c>
      <c r="P31" s="1" t="s">
        <v>38</v>
      </c>
      <c r="Q31" s="1" t="s">
        <v>47</v>
      </c>
      <c r="R31" s="1">
        <f t="shared" si="4"/>
        <v>1820016.0000000002</v>
      </c>
      <c r="S31" s="1">
        <v>1654560</v>
      </c>
      <c r="T31" s="5">
        <f t="shared" si="5"/>
        <v>0.90909090909090895</v>
      </c>
      <c r="U31" s="4">
        <f t="shared" si="6"/>
        <v>6.3608264532782851E-8</v>
      </c>
    </row>
    <row r="32" spans="1:21" x14ac:dyDescent="0.3">
      <c r="A32" s="3">
        <v>45322</v>
      </c>
      <c r="B32" s="1" t="s">
        <v>21</v>
      </c>
      <c r="C32" s="1" t="s">
        <v>22</v>
      </c>
      <c r="D32" s="1">
        <v>2024</v>
      </c>
      <c r="E32" s="1" t="s">
        <v>48</v>
      </c>
      <c r="F32" s="1" t="s">
        <v>65</v>
      </c>
      <c r="G32" s="1" t="s">
        <v>44</v>
      </c>
      <c r="H32" s="1" t="s">
        <v>26</v>
      </c>
      <c r="I32" s="1" t="s">
        <v>27</v>
      </c>
      <c r="J32" s="1">
        <v>7</v>
      </c>
      <c r="K32" s="1">
        <v>24876</v>
      </c>
      <c r="L32" s="1">
        <f t="shared" si="0"/>
        <v>174132</v>
      </c>
      <c r="M32" s="1">
        <f t="shared" si="1"/>
        <v>130599</v>
      </c>
      <c r="N32" s="1">
        <f t="shared" si="2"/>
        <v>43533</v>
      </c>
      <c r="O32" s="4">
        <f t="shared" si="3"/>
        <v>0.25</v>
      </c>
      <c r="P32" s="1" t="s">
        <v>38</v>
      </c>
      <c r="Q32" s="1" t="s">
        <v>29</v>
      </c>
      <c r="R32" s="1">
        <f t="shared" si="4"/>
        <v>191545.2</v>
      </c>
      <c r="S32" s="1">
        <v>174132</v>
      </c>
      <c r="T32" s="5">
        <f t="shared" si="5"/>
        <v>0.90909090909090906</v>
      </c>
      <c r="U32" s="4">
        <f t="shared" si="6"/>
        <v>3.6653970951630867E-6</v>
      </c>
    </row>
    <row r="33" spans="1:21" x14ac:dyDescent="0.3">
      <c r="A33" s="3">
        <v>45323</v>
      </c>
      <c r="B33" s="1" t="s">
        <v>70</v>
      </c>
      <c r="C33" s="1" t="s">
        <v>22</v>
      </c>
      <c r="D33" s="1">
        <v>2024</v>
      </c>
      <c r="E33" s="1" t="s">
        <v>23</v>
      </c>
      <c r="F33" s="1" t="s">
        <v>63</v>
      </c>
      <c r="G33" s="1" t="s">
        <v>71</v>
      </c>
      <c r="H33" s="1" t="s">
        <v>36</v>
      </c>
      <c r="I33" s="1" t="s">
        <v>69</v>
      </c>
      <c r="J33" s="1">
        <v>2</v>
      </c>
      <c r="K33" s="1">
        <v>55571</v>
      </c>
      <c r="L33" s="1">
        <f t="shared" si="0"/>
        <v>111142</v>
      </c>
      <c r="M33" s="1">
        <f t="shared" si="1"/>
        <v>83356.5</v>
      </c>
      <c r="N33" s="1">
        <f t="shared" si="2"/>
        <v>27785.5</v>
      </c>
      <c r="O33" s="4">
        <f t="shared" si="3"/>
        <v>0.25</v>
      </c>
      <c r="P33" s="1" t="s">
        <v>38</v>
      </c>
      <c r="Q33" s="1" t="s">
        <v>29</v>
      </c>
      <c r="R33" s="1">
        <f t="shared" si="4"/>
        <v>122256.20000000001</v>
      </c>
      <c r="S33" s="1">
        <v>111142</v>
      </c>
      <c r="T33" s="5">
        <f t="shared" si="5"/>
        <v>0.90909090909090895</v>
      </c>
      <c r="U33" s="4">
        <f t="shared" si="6"/>
        <v>1.7126633768010225E-4</v>
      </c>
    </row>
    <row r="34" spans="1:21" x14ac:dyDescent="0.3">
      <c r="A34" s="3">
        <v>45324</v>
      </c>
      <c r="B34" s="1" t="s">
        <v>70</v>
      </c>
      <c r="C34" s="1" t="s">
        <v>22</v>
      </c>
      <c r="D34" s="1">
        <v>2024</v>
      </c>
      <c r="E34" s="1" t="s">
        <v>50</v>
      </c>
      <c r="F34" s="1" t="s">
        <v>72</v>
      </c>
      <c r="G34" s="1" t="s">
        <v>57</v>
      </c>
      <c r="H34" s="1" t="s">
        <v>33</v>
      </c>
      <c r="I34" s="1" t="s">
        <v>34</v>
      </c>
      <c r="J34" s="1">
        <v>49</v>
      </c>
      <c r="K34" s="1">
        <v>43175</v>
      </c>
      <c r="L34" s="1">
        <f t="shared" si="0"/>
        <v>2115575</v>
      </c>
      <c r="M34" s="1">
        <f t="shared" si="1"/>
        <v>1586681.25</v>
      </c>
      <c r="N34" s="1">
        <f t="shared" si="2"/>
        <v>528893.75</v>
      </c>
      <c r="O34" s="4">
        <f t="shared" si="3"/>
        <v>0.25</v>
      </c>
      <c r="P34" s="1" t="s">
        <v>28</v>
      </c>
      <c r="Q34" s="1" t="s">
        <v>47</v>
      </c>
      <c r="R34" s="1">
        <f t="shared" si="4"/>
        <v>2327132.5</v>
      </c>
      <c r="S34" s="1">
        <v>2115575</v>
      </c>
      <c r="T34" s="5">
        <f t="shared" si="5"/>
        <v>0.90909090909090906</v>
      </c>
      <c r="U34" s="4">
        <f t="shared" si="6"/>
        <v>5.9154994597023695E-7</v>
      </c>
    </row>
    <row r="35" spans="1:21" x14ac:dyDescent="0.3">
      <c r="A35" s="3">
        <v>45325</v>
      </c>
      <c r="B35" s="1" t="s">
        <v>70</v>
      </c>
      <c r="C35" s="1" t="s">
        <v>22</v>
      </c>
      <c r="D35" s="1">
        <v>2024</v>
      </c>
      <c r="E35" s="1" t="s">
        <v>50</v>
      </c>
      <c r="F35" s="1" t="s">
        <v>51</v>
      </c>
      <c r="G35" s="1" t="s">
        <v>71</v>
      </c>
      <c r="H35" s="1" t="s">
        <v>41</v>
      </c>
      <c r="I35" s="1" t="s">
        <v>46</v>
      </c>
      <c r="J35" s="1">
        <v>45</v>
      </c>
      <c r="K35" s="1">
        <v>58835</v>
      </c>
      <c r="L35" s="1">
        <f t="shared" si="0"/>
        <v>2647575</v>
      </c>
      <c r="M35" s="1">
        <f t="shared" si="1"/>
        <v>1985681.25</v>
      </c>
      <c r="N35" s="1">
        <f t="shared" si="2"/>
        <v>661893.75</v>
      </c>
      <c r="O35" s="4">
        <f t="shared" si="3"/>
        <v>0.25</v>
      </c>
      <c r="P35" s="1" t="s">
        <v>28</v>
      </c>
      <c r="Q35" s="1" t="s">
        <v>29</v>
      </c>
      <c r="R35" s="1">
        <f t="shared" si="4"/>
        <v>2912332.5000000005</v>
      </c>
      <c r="S35" s="1">
        <v>2647575</v>
      </c>
      <c r="T35" s="5">
        <f t="shared" si="5"/>
        <v>0.90909090909090895</v>
      </c>
      <c r="U35" s="4">
        <f t="shared" si="6"/>
        <v>2.1368674293370635E-8</v>
      </c>
    </row>
    <row r="36" spans="1:21" x14ac:dyDescent="0.3">
      <c r="A36" s="3">
        <v>45326</v>
      </c>
      <c r="B36" s="1" t="s">
        <v>70</v>
      </c>
      <c r="C36" s="1" t="s">
        <v>22</v>
      </c>
      <c r="D36" s="1">
        <v>2024</v>
      </c>
      <c r="E36" s="1" t="s">
        <v>50</v>
      </c>
      <c r="F36" s="1" t="s">
        <v>72</v>
      </c>
      <c r="G36" s="1" t="s">
        <v>57</v>
      </c>
      <c r="H36" s="1" t="s">
        <v>33</v>
      </c>
      <c r="I36" s="1" t="s">
        <v>55</v>
      </c>
      <c r="J36" s="1">
        <v>17</v>
      </c>
      <c r="K36" s="1">
        <v>8811</v>
      </c>
      <c r="L36" s="1">
        <f t="shared" si="0"/>
        <v>149787</v>
      </c>
      <c r="M36" s="1">
        <f t="shared" si="1"/>
        <v>112340.25</v>
      </c>
      <c r="N36" s="1">
        <f t="shared" si="2"/>
        <v>37446.75</v>
      </c>
      <c r="O36" s="4">
        <f t="shared" si="3"/>
        <v>0.25</v>
      </c>
      <c r="P36" s="1" t="s">
        <v>38</v>
      </c>
      <c r="Q36" s="1" t="s">
        <v>47</v>
      </c>
      <c r="R36" s="1">
        <f t="shared" si="4"/>
        <v>164765.70000000001</v>
      </c>
      <c r="S36" s="1">
        <v>149787</v>
      </c>
      <c r="T36" s="5">
        <f t="shared" si="5"/>
        <v>0.90909090909090906</v>
      </c>
      <c r="U36" s="4">
        <f t="shared" si="6"/>
        <v>5.1901963588137602E-6</v>
      </c>
    </row>
    <row r="37" spans="1:21" x14ac:dyDescent="0.3">
      <c r="A37" s="3">
        <v>45327</v>
      </c>
      <c r="B37" s="1" t="s">
        <v>70</v>
      </c>
      <c r="C37" s="1" t="s">
        <v>22</v>
      </c>
      <c r="D37" s="1">
        <v>2024</v>
      </c>
      <c r="E37" s="1" t="s">
        <v>50</v>
      </c>
      <c r="F37" s="1" t="s">
        <v>72</v>
      </c>
      <c r="G37" s="1" t="s">
        <v>71</v>
      </c>
      <c r="H37" s="1" t="s">
        <v>36</v>
      </c>
      <c r="I37" s="1" t="s">
        <v>52</v>
      </c>
      <c r="J37" s="1">
        <v>12</v>
      </c>
      <c r="K37" s="1">
        <v>9704</v>
      </c>
      <c r="L37" s="1">
        <f t="shared" si="0"/>
        <v>116448</v>
      </c>
      <c r="M37" s="1">
        <f t="shared" si="1"/>
        <v>87336</v>
      </c>
      <c r="N37" s="1">
        <f t="shared" si="2"/>
        <v>29112</v>
      </c>
      <c r="O37" s="4">
        <f t="shared" si="3"/>
        <v>0.25</v>
      </c>
      <c r="P37" s="1" t="s">
        <v>38</v>
      </c>
      <c r="Q37" s="1" t="s">
        <v>29</v>
      </c>
      <c r="R37" s="1">
        <f t="shared" si="4"/>
        <v>128092.80000000002</v>
      </c>
      <c r="S37" s="1">
        <v>116448</v>
      </c>
      <c r="T37" s="5">
        <f t="shared" si="5"/>
        <v>0.90909090909090895</v>
      </c>
      <c r="U37" s="4">
        <f t="shared" si="6"/>
        <v>8.5922806342823141E-5</v>
      </c>
    </row>
    <row r="38" spans="1:21" x14ac:dyDescent="0.3">
      <c r="A38" s="3">
        <v>45328</v>
      </c>
      <c r="B38" s="1" t="s">
        <v>70</v>
      </c>
      <c r="C38" s="1" t="s">
        <v>22</v>
      </c>
      <c r="D38" s="1">
        <v>2024</v>
      </c>
      <c r="E38" s="1" t="s">
        <v>61</v>
      </c>
      <c r="F38" s="1" t="s">
        <v>62</v>
      </c>
      <c r="G38" s="1" t="s">
        <v>32</v>
      </c>
      <c r="H38" s="1" t="s">
        <v>26</v>
      </c>
      <c r="I38" s="1" t="s">
        <v>27</v>
      </c>
      <c r="J38" s="1">
        <v>39</v>
      </c>
      <c r="K38" s="1">
        <v>29875</v>
      </c>
      <c r="L38" s="1">
        <f t="shared" si="0"/>
        <v>1165125</v>
      </c>
      <c r="M38" s="1">
        <f t="shared" si="1"/>
        <v>873843.75</v>
      </c>
      <c r="N38" s="1">
        <f t="shared" si="2"/>
        <v>291281.25</v>
      </c>
      <c r="O38" s="4">
        <f t="shared" si="3"/>
        <v>0.25</v>
      </c>
      <c r="P38" s="1" t="s">
        <v>38</v>
      </c>
      <c r="Q38" s="1" t="s">
        <v>29</v>
      </c>
      <c r="R38" s="1">
        <f t="shared" si="4"/>
        <v>1281637.5</v>
      </c>
      <c r="S38" s="1">
        <v>1165125</v>
      </c>
      <c r="T38" s="5">
        <f t="shared" si="5"/>
        <v>0.90909090909090906</v>
      </c>
      <c r="U38" s="4">
        <f t="shared" si="6"/>
        <v>1.0245917748614453E-7</v>
      </c>
    </row>
    <row r="39" spans="1:21" x14ac:dyDescent="0.3">
      <c r="A39" s="3">
        <v>45329</v>
      </c>
      <c r="B39" s="1" t="s">
        <v>70</v>
      </c>
      <c r="C39" s="1" t="s">
        <v>22</v>
      </c>
      <c r="D39" s="1">
        <v>2024</v>
      </c>
      <c r="E39" s="1" t="s">
        <v>30</v>
      </c>
      <c r="F39" s="1" t="s">
        <v>54</v>
      </c>
      <c r="G39" s="1" t="s">
        <v>59</v>
      </c>
      <c r="H39" s="1" t="s">
        <v>26</v>
      </c>
      <c r="I39" s="1" t="s">
        <v>27</v>
      </c>
      <c r="J39" s="1">
        <v>14</v>
      </c>
      <c r="K39" s="1">
        <v>9935</v>
      </c>
      <c r="L39" s="1">
        <f t="shared" si="0"/>
        <v>139090</v>
      </c>
      <c r="M39" s="1">
        <f t="shared" si="1"/>
        <v>104317.5</v>
      </c>
      <c r="N39" s="1">
        <f t="shared" si="2"/>
        <v>34772.5</v>
      </c>
      <c r="O39" s="4">
        <f t="shared" si="3"/>
        <v>0.25</v>
      </c>
      <c r="P39" s="1" t="s">
        <v>28</v>
      </c>
      <c r="Q39" s="1" t="s">
        <v>47</v>
      </c>
      <c r="R39" s="1">
        <f t="shared" si="4"/>
        <v>152999</v>
      </c>
      <c r="S39" s="1">
        <v>139090</v>
      </c>
      <c r="T39" s="5">
        <f t="shared" si="5"/>
        <v>0.90909090909090906</v>
      </c>
      <c r="U39" s="4">
        <f t="shared" si="6"/>
        <v>5.3847177033718876E-5</v>
      </c>
    </row>
    <row r="40" spans="1:21" x14ac:dyDescent="0.3">
      <c r="A40" s="3">
        <v>45330</v>
      </c>
      <c r="B40" s="1" t="s">
        <v>70</v>
      </c>
      <c r="C40" s="1" t="s">
        <v>22</v>
      </c>
      <c r="D40" s="1">
        <v>2024</v>
      </c>
      <c r="E40" s="1" t="s">
        <v>23</v>
      </c>
      <c r="F40" s="1" t="s">
        <v>43</v>
      </c>
      <c r="G40" s="1" t="s">
        <v>57</v>
      </c>
      <c r="H40" s="1" t="s">
        <v>41</v>
      </c>
      <c r="I40" s="1" t="s">
        <v>42</v>
      </c>
      <c r="J40" s="1">
        <v>39</v>
      </c>
      <c r="K40" s="1">
        <v>26711</v>
      </c>
      <c r="L40" s="1">
        <f t="shared" si="0"/>
        <v>1041729</v>
      </c>
      <c r="M40" s="1">
        <f t="shared" si="1"/>
        <v>781296.75</v>
      </c>
      <c r="N40" s="1">
        <f t="shared" si="2"/>
        <v>260432.25</v>
      </c>
      <c r="O40" s="4">
        <f t="shared" si="3"/>
        <v>0.25</v>
      </c>
      <c r="P40" s="1" t="s">
        <v>38</v>
      </c>
      <c r="Q40" s="1" t="s">
        <v>29</v>
      </c>
      <c r="R40" s="1">
        <f t="shared" si="4"/>
        <v>1145901.9000000001</v>
      </c>
      <c r="S40" s="1">
        <v>1041729</v>
      </c>
      <c r="T40" s="5">
        <f t="shared" si="5"/>
        <v>0.90909090909090895</v>
      </c>
      <c r="U40" s="4">
        <f t="shared" si="6"/>
        <v>6.2604444555899949E-7</v>
      </c>
    </row>
    <row r="41" spans="1:21" x14ac:dyDescent="0.3">
      <c r="A41" s="3">
        <v>45331</v>
      </c>
      <c r="B41" s="1" t="s">
        <v>70</v>
      </c>
      <c r="C41" s="1" t="s">
        <v>22</v>
      </c>
      <c r="D41" s="1">
        <v>2024</v>
      </c>
      <c r="E41" s="1" t="s">
        <v>50</v>
      </c>
      <c r="F41" s="1" t="s">
        <v>72</v>
      </c>
      <c r="G41" s="1" t="s">
        <v>40</v>
      </c>
      <c r="H41" s="1" t="s">
        <v>36</v>
      </c>
      <c r="I41" s="1" t="s">
        <v>69</v>
      </c>
      <c r="J41" s="1">
        <v>19</v>
      </c>
      <c r="K41" s="1">
        <v>35757</v>
      </c>
      <c r="L41" s="1">
        <f t="shared" si="0"/>
        <v>679383</v>
      </c>
      <c r="M41" s="1">
        <f t="shared" si="1"/>
        <v>509537.25</v>
      </c>
      <c r="N41" s="1">
        <f t="shared" si="2"/>
        <v>169845.75</v>
      </c>
      <c r="O41" s="4">
        <f t="shared" si="3"/>
        <v>0.25</v>
      </c>
      <c r="P41" s="1" t="s">
        <v>38</v>
      </c>
      <c r="Q41" s="1" t="s">
        <v>29</v>
      </c>
      <c r="R41" s="1">
        <f t="shared" si="4"/>
        <v>747321.3</v>
      </c>
      <c r="S41" s="1">
        <v>679383</v>
      </c>
      <c r="T41" s="5">
        <f t="shared" si="5"/>
        <v>0.90909090909090906</v>
      </c>
      <c r="U41" s="4">
        <f t="shared" si="6"/>
        <v>2.7067371255010833E-6</v>
      </c>
    </row>
    <row r="42" spans="1:21" x14ac:dyDescent="0.3">
      <c r="A42" s="3">
        <v>45332</v>
      </c>
      <c r="B42" s="1" t="s">
        <v>70</v>
      </c>
      <c r="C42" s="1" t="s">
        <v>22</v>
      </c>
      <c r="D42" s="1">
        <v>2024</v>
      </c>
      <c r="E42" s="1" t="s">
        <v>48</v>
      </c>
      <c r="F42" s="1" t="s">
        <v>68</v>
      </c>
      <c r="G42" s="1" t="s">
        <v>40</v>
      </c>
      <c r="H42" s="1" t="s">
        <v>41</v>
      </c>
      <c r="I42" s="1" t="s">
        <v>46</v>
      </c>
      <c r="J42" s="1">
        <v>35</v>
      </c>
      <c r="K42" s="1">
        <v>35695</v>
      </c>
      <c r="L42" s="1">
        <f t="shared" si="0"/>
        <v>1249325</v>
      </c>
      <c r="M42" s="1">
        <f t="shared" si="1"/>
        <v>936993.75</v>
      </c>
      <c r="N42" s="1">
        <f t="shared" si="2"/>
        <v>312331.25</v>
      </c>
      <c r="O42" s="4">
        <f t="shared" si="3"/>
        <v>0.25</v>
      </c>
      <c r="P42" s="1" t="s">
        <v>28</v>
      </c>
      <c r="Q42" s="1" t="s">
        <v>29</v>
      </c>
      <c r="R42" s="1">
        <f t="shared" si="4"/>
        <v>1374257.5</v>
      </c>
      <c r="S42" s="1">
        <v>1249325</v>
      </c>
      <c r="T42" s="5">
        <f t="shared" si="5"/>
        <v>0.90909090909090906</v>
      </c>
      <c r="U42" s="4">
        <f t="shared" si="6"/>
        <v>5.9944146198181006E-7</v>
      </c>
    </row>
    <row r="43" spans="1:21" x14ac:dyDescent="0.3">
      <c r="A43" s="3">
        <v>45333</v>
      </c>
      <c r="B43" s="1" t="s">
        <v>70</v>
      </c>
      <c r="C43" s="1" t="s">
        <v>22</v>
      </c>
      <c r="D43" s="1">
        <v>2024</v>
      </c>
      <c r="E43" s="1" t="s">
        <v>61</v>
      </c>
      <c r="F43" s="1" t="s">
        <v>62</v>
      </c>
      <c r="G43" s="1" t="s">
        <v>25</v>
      </c>
      <c r="H43" s="1" t="s">
        <v>33</v>
      </c>
      <c r="I43" s="1" t="s">
        <v>55</v>
      </c>
      <c r="J43" s="1">
        <v>44</v>
      </c>
      <c r="K43" s="1">
        <v>21264</v>
      </c>
      <c r="L43" s="1">
        <f t="shared" si="0"/>
        <v>935616</v>
      </c>
      <c r="M43" s="1">
        <f t="shared" si="1"/>
        <v>701712</v>
      </c>
      <c r="N43" s="1">
        <f t="shared" si="2"/>
        <v>233904</v>
      </c>
      <c r="O43" s="4">
        <f t="shared" si="3"/>
        <v>0.25</v>
      </c>
      <c r="P43" s="1" t="s">
        <v>28</v>
      </c>
      <c r="Q43" s="1" t="s">
        <v>47</v>
      </c>
      <c r="R43" s="1">
        <f t="shared" si="4"/>
        <v>1029177.6000000001</v>
      </c>
      <c r="S43" s="1">
        <v>935616</v>
      </c>
      <c r="T43" s="5">
        <f t="shared" si="5"/>
        <v>0.90909090909090906</v>
      </c>
      <c r="U43" s="4">
        <f t="shared" si="6"/>
        <v>4.6943186698509422E-7</v>
      </c>
    </row>
    <row r="44" spans="1:21" x14ac:dyDescent="0.3">
      <c r="A44" s="3">
        <v>45334</v>
      </c>
      <c r="B44" s="1" t="s">
        <v>70</v>
      </c>
      <c r="C44" s="1" t="s">
        <v>22</v>
      </c>
      <c r="D44" s="1">
        <v>2024</v>
      </c>
      <c r="E44" s="1" t="s">
        <v>30</v>
      </c>
      <c r="F44" s="1" t="s">
        <v>39</v>
      </c>
      <c r="G44" s="1" t="s">
        <v>35</v>
      </c>
      <c r="H44" s="1" t="s">
        <v>33</v>
      </c>
      <c r="I44" s="1" t="s">
        <v>45</v>
      </c>
      <c r="J44" s="1">
        <v>26</v>
      </c>
      <c r="K44" s="1">
        <v>15805</v>
      </c>
      <c r="L44" s="1">
        <f t="shared" si="0"/>
        <v>410930</v>
      </c>
      <c r="M44" s="1">
        <f t="shared" si="1"/>
        <v>308197.5</v>
      </c>
      <c r="N44" s="1">
        <f t="shared" si="2"/>
        <v>102732.5</v>
      </c>
      <c r="O44" s="4">
        <f t="shared" si="3"/>
        <v>0.25</v>
      </c>
      <c r="P44" s="1" t="s">
        <v>38</v>
      </c>
      <c r="Q44" s="1" t="s">
        <v>29</v>
      </c>
      <c r="R44" s="1">
        <f t="shared" si="4"/>
        <v>452023.00000000006</v>
      </c>
      <c r="S44" s="1">
        <v>410930</v>
      </c>
      <c r="T44" s="5">
        <f t="shared" si="5"/>
        <v>0.90909090909090895</v>
      </c>
      <c r="U44" s="4">
        <f t="shared" si="6"/>
        <v>2.9906291470393728E-6</v>
      </c>
    </row>
    <row r="45" spans="1:21" x14ac:dyDescent="0.3">
      <c r="A45" s="3">
        <v>45335</v>
      </c>
      <c r="B45" s="1" t="s">
        <v>70</v>
      </c>
      <c r="C45" s="1" t="s">
        <v>22</v>
      </c>
      <c r="D45" s="1">
        <v>2024</v>
      </c>
      <c r="E45" s="1" t="s">
        <v>50</v>
      </c>
      <c r="F45" s="1" t="s">
        <v>72</v>
      </c>
      <c r="G45" s="1" t="s">
        <v>25</v>
      </c>
      <c r="H45" s="1" t="s">
        <v>41</v>
      </c>
      <c r="I45" s="1" t="s">
        <v>42</v>
      </c>
      <c r="J45" s="1">
        <v>21</v>
      </c>
      <c r="K45" s="1">
        <v>24048</v>
      </c>
      <c r="L45" s="1">
        <f t="shared" si="0"/>
        <v>505008</v>
      </c>
      <c r="M45" s="1">
        <f t="shared" si="1"/>
        <v>378756</v>
      </c>
      <c r="N45" s="1">
        <f t="shared" si="2"/>
        <v>126252</v>
      </c>
      <c r="O45" s="4">
        <f t="shared" si="3"/>
        <v>0.25</v>
      </c>
      <c r="P45" s="1" t="s">
        <v>38</v>
      </c>
      <c r="Q45" s="1" t="s">
        <v>29</v>
      </c>
      <c r="R45" s="1">
        <f t="shared" si="4"/>
        <v>555508.80000000005</v>
      </c>
      <c r="S45" s="1">
        <v>505008</v>
      </c>
      <c r="T45" s="5">
        <f t="shared" si="5"/>
        <v>0.90909090909090906</v>
      </c>
      <c r="U45" s="4">
        <f t="shared" si="6"/>
        <v>5.4150975224603558E-6</v>
      </c>
    </row>
    <row r="46" spans="1:21" x14ac:dyDescent="0.3">
      <c r="A46" s="3">
        <v>45336</v>
      </c>
      <c r="B46" s="1" t="s">
        <v>70</v>
      </c>
      <c r="C46" s="1" t="s">
        <v>22</v>
      </c>
      <c r="D46" s="1">
        <v>2024</v>
      </c>
      <c r="E46" s="1" t="s">
        <v>61</v>
      </c>
      <c r="F46" s="1" t="s">
        <v>66</v>
      </c>
      <c r="G46" s="1" t="s">
        <v>40</v>
      </c>
      <c r="H46" s="1" t="s">
        <v>33</v>
      </c>
      <c r="I46" s="1" t="s">
        <v>45</v>
      </c>
      <c r="J46" s="1">
        <v>39</v>
      </c>
      <c r="K46" s="1">
        <v>35411</v>
      </c>
      <c r="L46" s="1">
        <f t="shared" si="0"/>
        <v>1381029</v>
      </c>
      <c r="M46" s="1">
        <f t="shared" si="1"/>
        <v>1035771.75</v>
      </c>
      <c r="N46" s="1">
        <f t="shared" si="2"/>
        <v>345257.25</v>
      </c>
      <c r="O46" s="4">
        <f t="shared" si="3"/>
        <v>0.25</v>
      </c>
      <c r="P46" s="1" t="s">
        <v>38</v>
      </c>
      <c r="Q46" s="1" t="s">
        <v>47</v>
      </c>
      <c r="R46" s="1">
        <f t="shared" si="4"/>
        <v>1519131.9000000001</v>
      </c>
      <c r="S46" s="1">
        <v>1381029</v>
      </c>
      <c r="T46" s="5">
        <f t="shared" si="5"/>
        <v>0.90909090909090906</v>
      </c>
      <c r="U46" s="4">
        <f t="shared" si="6"/>
        <v>7.3695979016713531E-7</v>
      </c>
    </row>
    <row r="47" spans="1:21" x14ac:dyDescent="0.3">
      <c r="A47" s="3">
        <v>45337</v>
      </c>
      <c r="B47" s="1" t="s">
        <v>70</v>
      </c>
      <c r="C47" s="1" t="s">
        <v>22</v>
      </c>
      <c r="D47" s="1">
        <v>2024</v>
      </c>
      <c r="E47" s="1" t="s">
        <v>50</v>
      </c>
      <c r="F47" s="1" t="s">
        <v>56</v>
      </c>
      <c r="G47" s="1" t="s">
        <v>53</v>
      </c>
      <c r="H47" s="1" t="s">
        <v>36</v>
      </c>
      <c r="I47" s="1" t="s">
        <v>52</v>
      </c>
      <c r="J47" s="1">
        <v>30</v>
      </c>
      <c r="K47" s="1">
        <v>46852</v>
      </c>
      <c r="L47" s="1">
        <f t="shared" si="0"/>
        <v>1405560</v>
      </c>
      <c r="M47" s="1">
        <f t="shared" si="1"/>
        <v>1054170</v>
      </c>
      <c r="N47" s="1">
        <f t="shared" si="2"/>
        <v>351390</v>
      </c>
      <c r="O47" s="4">
        <f t="shared" si="3"/>
        <v>0.25</v>
      </c>
      <c r="P47" s="1" t="s">
        <v>38</v>
      </c>
      <c r="Q47" s="1" t="s">
        <v>47</v>
      </c>
      <c r="R47" s="1">
        <f t="shared" si="4"/>
        <v>1546116.0000000002</v>
      </c>
      <c r="S47" s="1">
        <v>1405560</v>
      </c>
      <c r="T47" s="5">
        <f t="shared" si="5"/>
        <v>0.90909090909090895</v>
      </c>
      <c r="U47" s="4">
        <f t="shared" si="6"/>
        <v>5.1812439911436888E-7</v>
      </c>
    </row>
    <row r="48" spans="1:21" x14ac:dyDescent="0.3">
      <c r="A48" s="3">
        <v>45338</v>
      </c>
      <c r="B48" s="1" t="s">
        <v>70</v>
      </c>
      <c r="C48" s="1" t="s">
        <v>22</v>
      </c>
      <c r="D48" s="1">
        <v>2024</v>
      </c>
      <c r="E48" s="1" t="s">
        <v>30</v>
      </c>
      <c r="F48" s="1" t="s">
        <v>54</v>
      </c>
      <c r="G48" s="1" t="s">
        <v>40</v>
      </c>
      <c r="H48" s="1" t="s">
        <v>41</v>
      </c>
      <c r="I48" s="1" t="s">
        <v>42</v>
      </c>
      <c r="J48" s="1">
        <v>41</v>
      </c>
      <c r="K48" s="1">
        <v>24966</v>
      </c>
      <c r="L48" s="1">
        <f t="shared" si="0"/>
        <v>1023606</v>
      </c>
      <c r="M48" s="1">
        <f t="shared" si="1"/>
        <v>767704.5</v>
      </c>
      <c r="N48" s="1">
        <f t="shared" si="2"/>
        <v>255901.5</v>
      </c>
      <c r="O48" s="4">
        <f t="shared" si="3"/>
        <v>0.25</v>
      </c>
      <c r="P48" s="1" t="s">
        <v>28</v>
      </c>
      <c r="Q48" s="1" t="s">
        <v>47</v>
      </c>
      <c r="R48" s="1">
        <f t="shared" si="4"/>
        <v>1125966.6000000001</v>
      </c>
      <c r="S48" s="1">
        <v>1023606</v>
      </c>
      <c r="T48" s="5">
        <f t="shared" si="5"/>
        <v>0.90909090909090906</v>
      </c>
      <c r="U48" s="4">
        <f t="shared" si="6"/>
        <v>2.7574010390656725E-7</v>
      </c>
    </row>
    <row r="49" spans="1:21" x14ac:dyDescent="0.3">
      <c r="A49" s="3">
        <v>45339</v>
      </c>
      <c r="B49" s="1" t="s">
        <v>70</v>
      </c>
      <c r="C49" s="1" t="s">
        <v>22</v>
      </c>
      <c r="D49" s="1">
        <v>2024</v>
      </c>
      <c r="E49" s="1" t="s">
        <v>30</v>
      </c>
      <c r="F49" s="1" t="s">
        <v>31</v>
      </c>
      <c r="G49" s="1" t="s">
        <v>32</v>
      </c>
      <c r="H49" s="1" t="s">
        <v>26</v>
      </c>
      <c r="I49" s="1" t="s">
        <v>58</v>
      </c>
      <c r="J49" s="1">
        <v>12</v>
      </c>
      <c r="K49" s="1">
        <v>24076</v>
      </c>
      <c r="L49" s="1">
        <f t="shared" si="0"/>
        <v>288912</v>
      </c>
      <c r="M49" s="1">
        <f t="shared" si="1"/>
        <v>216684</v>
      </c>
      <c r="N49" s="1">
        <f t="shared" si="2"/>
        <v>72228</v>
      </c>
      <c r="O49" s="4">
        <f t="shared" si="3"/>
        <v>0.25</v>
      </c>
      <c r="P49" s="1" t="s">
        <v>28</v>
      </c>
      <c r="Q49" s="1" t="s">
        <v>47</v>
      </c>
      <c r="R49" s="1">
        <f t="shared" si="4"/>
        <v>317803.2</v>
      </c>
      <c r="S49" s="1">
        <v>288912</v>
      </c>
      <c r="T49" s="5">
        <f t="shared" si="5"/>
        <v>0.90909090909090906</v>
      </c>
      <c r="U49" s="4">
        <f t="shared" si="6"/>
        <v>6.3730332324752728E-6</v>
      </c>
    </row>
    <row r="50" spans="1:21" x14ac:dyDescent="0.3">
      <c r="A50" s="3">
        <v>45340</v>
      </c>
      <c r="B50" s="1" t="s">
        <v>70</v>
      </c>
      <c r="C50" s="1" t="s">
        <v>22</v>
      </c>
      <c r="D50" s="1">
        <v>2024</v>
      </c>
      <c r="E50" s="1" t="s">
        <v>50</v>
      </c>
      <c r="F50" s="1" t="s">
        <v>51</v>
      </c>
      <c r="G50" s="1" t="s">
        <v>57</v>
      </c>
      <c r="H50" s="1" t="s">
        <v>33</v>
      </c>
      <c r="I50" s="1" t="s">
        <v>55</v>
      </c>
      <c r="J50" s="1">
        <v>14</v>
      </c>
      <c r="K50" s="1">
        <v>37997</v>
      </c>
      <c r="L50" s="1">
        <f t="shared" si="0"/>
        <v>531958</v>
      </c>
      <c r="M50" s="1">
        <f t="shared" si="1"/>
        <v>398968.5</v>
      </c>
      <c r="N50" s="1">
        <f t="shared" si="2"/>
        <v>132989.5</v>
      </c>
      <c r="O50" s="4">
        <f t="shared" si="3"/>
        <v>0.25</v>
      </c>
      <c r="P50" s="1" t="s">
        <v>28</v>
      </c>
      <c r="Q50" s="1" t="s">
        <v>29</v>
      </c>
      <c r="R50" s="1">
        <f t="shared" si="4"/>
        <v>585153.80000000005</v>
      </c>
      <c r="S50" s="1">
        <v>531958</v>
      </c>
      <c r="T50" s="5">
        <f t="shared" si="5"/>
        <v>0.90909090909090906</v>
      </c>
      <c r="U50" s="4">
        <f t="shared" si="6"/>
        <v>2.7421085650350312E-7</v>
      </c>
    </row>
    <row r="51" spans="1:21" x14ac:dyDescent="0.3">
      <c r="A51" s="3">
        <v>45341</v>
      </c>
      <c r="B51" s="1" t="s">
        <v>70</v>
      </c>
      <c r="C51" s="1" t="s">
        <v>22</v>
      </c>
      <c r="D51" s="1">
        <v>2024</v>
      </c>
      <c r="E51" s="1" t="s">
        <v>23</v>
      </c>
      <c r="F51" s="1" t="s">
        <v>24</v>
      </c>
      <c r="G51" s="1" t="s">
        <v>57</v>
      </c>
      <c r="H51" s="1" t="s">
        <v>33</v>
      </c>
      <c r="I51" s="1" t="s">
        <v>45</v>
      </c>
      <c r="J51" s="1">
        <v>38</v>
      </c>
      <c r="K51" s="1">
        <v>2042</v>
      </c>
      <c r="L51" s="1">
        <f t="shared" si="0"/>
        <v>77596</v>
      </c>
      <c r="M51" s="1">
        <f t="shared" si="1"/>
        <v>58197</v>
      </c>
      <c r="N51" s="1">
        <f t="shared" si="2"/>
        <v>19399</v>
      </c>
      <c r="O51" s="4">
        <f t="shared" si="3"/>
        <v>0.25</v>
      </c>
      <c r="P51" s="1" t="s">
        <v>38</v>
      </c>
      <c r="Q51" s="1" t="s">
        <v>47</v>
      </c>
      <c r="R51" s="1">
        <f t="shared" si="4"/>
        <v>85355.6</v>
      </c>
      <c r="S51" s="1">
        <v>77596</v>
      </c>
      <c r="T51" s="5">
        <f t="shared" si="5"/>
        <v>0.90909090909090906</v>
      </c>
      <c r="U51" s="4">
        <f t="shared" si="6"/>
        <v>1.900902734417028E-5</v>
      </c>
    </row>
    <row r="52" spans="1:21" x14ac:dyDescent="0.3">
      <c r="A52" s="3">
        <v>45342</v>
      </c>
      <c r="B52" s="1" t="s">
        <v>70</v>
      </c>
      <c r="C52" s="1" t="s">
        <v>22</v>
      </c>
      <c r="D52" s="1">
        <v>2024</v>
      </c>
      <c r="E52" s="1" t="s">
        <v>48</v>
      </c>
      <c r="F52" s="1" t="s">
        <v>68</v>
      </c>
      <c r="G52" s="1" t="s">
        <v>32</v>
      </c>
      <c r="H52" s="1" t="s">
        <v>33</v>
      </c>
      <c r="I52" s="1" t="s">
        <v>55</v>
      </c>
      <c r="J52" s="1">
        <v>8</v>
      </c>
      <c r="K52" s="1">
        <v>14307</v>
      </c>
      <c r="L52" s="1">
        <f t="shared" si="0"/>
        <v>114456</v>
      </c>
      <c r="M52" s="1">
        <f t="shared" si="1"/>
        <v>85842</v>
      </c>
      <c r="N52" s="1">
        <f t="shared" si="2"/>
        <v>28614</v>
      </c>
      <c r="O52" s="4">
        <f t="shared" si="3"/>
        <v>0.25</v>
      </c>
      <c r="P52" s="1" t="s">
        <v>38</v>
      </c>
      <c r="Q52" s="1" t="s">
        <v>47</v>
      </c>
      <c r="R52" s="1">
        <f t="shared" si="4"/>
        <v>125901.6</v>
      </c>
      <c r="S52" s="1">
        <v>114456</v>
      </c>
      <c r="T52" s="5">
        <f t="shared" si="5"/>
        <v>0.90909090909090906</v>
      </c>
      <c r="U52" s="4">
        <f t="shared" si="6"/>
        <v>1.6027891611974148E-4</v>
      </c>
    </row>
    <row r="53" spans="1:21" x14ac:dyDescent="0.3">
      <c r="A53" s="3">
        <v>45343</v>
      </c>
      <c r="B53" s="1" t="s">
        <v>70</v>
      </c>
      <c r="C53" s="1" t="s">
        <v>22</v>
      </c>
      <c r="D53" s="1">
        <v>2024</v>
      </c>
      <c r="E53" s="1" t="s">
        <v>50</v>
      </c>
      <c r="F53" s="1" t="s">
        <v>72</v>
      </c>
      <c r="G53" s="1" t="s">
        <v>73</v>
      </c>
      <c r="H53" s="1" t="s">
        <v>26</v>
      </c>
      <c r="I53" s="1" t="s">
        <v>74</v>
      </c>
      <c r="J53" s="1">
        <v>39</v>
      </c>
      <c r="K53" s="1">
        <v>53838</v>
      </c>
      <c r="L53" s="1">
        <f t="shared" si="0"/>
        <v>2099682</v>
      </c>
      <c r="M53" s="1">
        <f t="shared" si="1"/>
        <v>1574761.5</v>
      </c>
      <c r="N53" s="1">
        <f t="shared" si="2"/>
        <v>524920.5</v>
      </c>
      <c r="O53" s="4">
        <f t="shared" si="3"/>
        <v>0.25</v>
      </c>
      <c r="P53" s="1" t="s">
        <v>28</v>
      </c>
      <c r="Q53" s="1" t="s">
        <v>29</v>
      </c>
      <c r="R53" s="1">
        <f t="shared" si="4"/>
        <v>2309650.2000000002</v>
      </c>
      <c r="S53" s="1">
        <v>2099682</v>
      </c>
      <c r="T53" s="5">
        <f t="shared" si="5"/>
        <v>0.90909090909090906</v>
      </c>
      <c r="U53" s="4">
        <f t="shared" si="6"/>
        <v>4.0378168934064941E-7</v>
      </c>
    </row>
    <row r="54" spans="1:21" x14ac:dyDescent="0.3">
      <c r="A54" s="3">
        <v>45344</v>
      </c>
      <c r="B54" s="1" t="s">
        <v>70</v>
      </c>
      <c r="C54" s="1" t="s">
        <v>22</v>
      </c>
      <c r="D54" s="1">
        <v>2024</v>
      </c>
      <c r="E54" s="1" t="s">
        <v>48</v>
      </c>
      <c r="F54" s="1" t="s">
        <v>49</v>
      </c>
      <c r="G54" s="1" t="s">
        <v>57</v>
      </c>
      <c r="H54" s="1" t="s">
        <v>41</v>
      </c>
      <c r="I54" s="1" t="s">
        <v>42</v>
      </c>
      <c r="J54" s="1">
        <v>41</v>
      </c>
      <c r="K54" s="1">
        <v>43418</v>
      </c>
      <c r="L54" s="1">
        <f t="shared" si="0"/>
        <v>1780138</v>
      </c>
      <c r="M54" s="1">
        <f t="shared" si="1"/>
        <v>1335103.5</v>
      </c>
      <c r="N54" s="1">
        <f t="shared" si="2"/>
        <v>445034.5</v>
      </c>
      <c r="O54" s="4">
        <f t="shared" si="3"/>
        <v>0.25</v>
      </c>
      <c r="P54" s="1" t="s">
        <v>28</v>
      </c>
      <c r="Q54" s="1" t="s">
        <v>47</v>
      </c>
      <c r="R54" s="1">
        <f t="shared" si="4"/>
        <v>1958151.8</v>
      </c>
      <c r="S54" s="1">
        <v>1780138</v>
      </c>
      <c r="T54" s="5">
        <f t="shared" si="5"/>
        <v>0.90909090909090906</v>
      </c>
      <c r="U54" s="4">
        <f t="shared" si="6"/>
        <v>4.9323244393757848E-9</v>
      </c>
    </row>
    <row r="55" spans="1:21" x14ac:dyDescent="0.3">
      <c r="A55" s="3">
        <v>45345</v>
      </c>
      <c r="B55" s="1" t="s">
        <v>70</v>
      </c>
      <c r="C55" s="1" t="s">
        <v>22</v>
      </c>
      <c r="D55" s="1">
        <v>2024</v>
      </c>
      <c r="E55" s="1" t="s">
        <v>61</v>
      </c>
      <c r="F55" s="1" t="s">
        <v>62</v>
      </c>
      <c r="G55" s="1" t="s">
        <v>25</v>
      </c>
      <c r="H55" s="1" t="s">
        <v>26</v>
      </c>
      <c r="I55" s="1" t="s">
        <v>27</v>
      </c>
      <c r="J55" s="1">
        <v>6</v>
      </c>
      <c r="K55" s="1">
        <v>2605</v>
      </c>
      <c r="L55" s="1">
        <f t="shared" si="0"/>
        <v>15630</v>
      </c>
      <c r="M55" s="1">
        <f t="shared" si="1"/>
        <v>11722.5</v>
      </c>
      <c r="N55" s="1">
        <f t="shared" si="2"/>
        <v>3907.5</v>
      </c>
      <c r="O55" s="4">
        <f t="shared" si="3"/>
        <v>0.25</v>
      </c>
      <c r="P55" s="1" t="s">
        <v>38</v>
      </c>
      <c r="Q55" s="1" t="s">
        <v>29</v>
      </c>
      <c r="R55" s="1">
        <f t="shared" si="4"/>
        <v>17193</v>
      </c>
      <c r="S55" s="1">
        <v>15630</v>
      </c>
      <c r="T55" s="5">
        <f t="shared" si="5"/>
        <v>0.90909090909090906</v>
      </c>
      <c r="U55" s="4">
        <f t="shared" si="6"/>
        <v>1.115515587795015E-3</v>
      </c>
    </row>
    <row r="56" spans="1:21" x14ac:dyDescent="0.3">
      <c r="A56" s="3">
        <v>45346</v>
      </c>
      <c r="B56" s="1" t="s">
        <v>70</v>
      </c>
      <c r="C56" s="1" t="s">
        <v>22</v>
      </c>
      <c r="D56" s="1">
        <v>2024</v>
      </c>
      <c r="E56" s="1" t="s">
        <v>50</v>
      </c>
      <c r="F56" s="1" t="s">
        <v>56</v>
      </c>
      <c r="G56" s="1" t="s">
        <v>32</v>
      </c>
      <c r="H56" s="1" t="s">
        <v>41</v>
      </c>
      <c r="I56" s="1" t="s">
        <v>60</v>
      </c>
      <c r="J56" s="1">
        <v>19</v>
      </c>
      <c r="K56" s="1">
        <v>14343</v>
      </c>
      <c r="L56" s="1">
        <f t="shared" si="0"/>
        <v>272517</v>
      </c>
      <c r="M56" s="1">
        <f t="shared" si="1"/>
        <v>204387.75</v>
      </c>
      <c r="N56" s="1">
        <f t="shared" si="2"/>
        <v>68129.25</v>
      </c>
      <c r="O56" s="4">
        <f t="shared" si="3"/>
        <v>0.25</v>
      </c>
      <c r="P56" s="1" t="s">
        <v>28</v>
      </c>
      <c r="Q56" s="1" t="s">
        <v>29</v>
      </c>
      <c r="R56" s="1">
        <f t="shared" si="4"/>
        <v>299768.7</v>
      </c>
      <c r="S56" s="1">
        <v>272517</v>
      </c>
      <c r="T56" s="5">
        <f t="shared" si="5"/>
        <v>0.90909090909090906</v>
      </c>
      <c r="U56" s="4">
        <f t="shared" si="6"/>
        <v>9.0335332272227421E-6</v>
      </c>
    </row>
    <row r="57" spans="1:21" x14ac:dyDescent="0.3">
      <c r="A57" s="3">
        <v>45347</v>
      </c>
      <c r="B57" s="1" t="s">
        <v>70</v>
      </c>
      <c r="C57" s="1" t="s">
        <v>22</v>
      </c>
      <c r="D57" s="1">
        <v>2024</v>
      </c>
      <c r="E57" s="1" t="s">
        <v>61</v>
      </c>
      <c r="F57" s="1" t="s">
        <v>62</v>
      </c>
      <c r="G57" s="1" t="s">
        <v>59</v>
      </c>
      <c r="H57" s="1" t="s">
        <v>33</v>
      </c>
      <c r="I57" s="1" t="s">
        <v>55</v>
      </c>
      <c r="J57" s="1">
        <v>16</v>
      </c>
      <c r="K57" s="1">
        <v>41930</v>
      </c>
      <c r="L57" s="1">
        <f t="shared" si="0"/>
        <v>670880</v>
      </c>
      <c r="M57" s="1">
        <f t="shared" si="1"/>
        <v>503160</v>
      </c>
      <c r="N57" s="1">
        <f t="shared" si="2"/>
        <v>167720</v>
      </c>
      <c r="O57" s="4">
        <f t="shared" si="3"/>
        <v>0.25</v>
      </c>
      <c r="P57" s="1" t="s">
        <v>38</v>
      </c>
      <c r="Q57" s="1" t="s">
        <v>47</v>
      </c>
      <c r="R57" s="1">
        <f t="shared" si="4"/>
        <v>737968.00000000012</v>
      </c>
      <c r="S57" s="1">
        <v>670880</v>
      </c>
      <c r="T57" s="5">
        <f t="shared" si="5"/>
        <v>0.90909090909090895</v>
      </c>
      <c r="U57" s="4">
        <f t="shared" si="6"/>
        <v>3.4889799353845681E-7</v>
      </c>
    </row>
    <row r="58" spans="1:21" x14ac:dyDescent="0.3">
      <c r="A58" s="3">
        <v>45348</v>
      </c>
      <c r="B58" s="1" t="s">
        <v>70</v>
      </c>
      <c r="C58" s="1" t="s">
        <v>22</v>
      </c>
      <c r="D58" s="1">
        <v>2024</v>
      </c>
      <c r="E58" s="1" t="s">
        <v>23</v>
      </c>
      <c r="F58" s="1" t="s">
        <v>24</v>
      </c>
      <c r="G58" s="1" t="s">
        <v>25</v>
      </c>
      <c r="H58" s="1" t="s">
        <v>33</v>
      </c>
      <c r="I58" s="1" t="s">
        <v>34</v>
      </c>
      <c r="J58" s="1">
        <v>8</v>
      </c>
      <c r="K58" s="1">
        <v>19629</v>
      </c>
      <c r="L58" s="1">
        <f t="shared" si="0"/>
        <v>157032</v>
      </c>
      <c r="M58" s="1">
        <f t="shared" si="1"/>
        <v>117774</v>
      </c>
      <c r="N58" s="1">
        <f t="shared" si="2"/>
        <v>39258</v>
      </c>
      <c r="O58" s="4">
        <f t="shared" si="3"/>
        <v>0.25</v>
      </c>
      <c r="P58" s="1" t="s">
        <v>38</v>
      </c>
      <c r="Q58" s="1" t="s">
        <v>47</v>
      </c>
      <c r="R58" s="1">
        <f t="shared" si="4"/>
        <v>172735.2</v>
      </c>
      <c r="S58" s="1">
        <v>157032</v>
      </c>
      <c r="T58" s="5">
        <f t="shared" si="5"/>
        <v>0.90909090909090906</v>
      </c>
      <c r="U58" s="4">
        <f t="shared" si="6"/>
        <v>2.9236326157522468E-5</v>
      </c>
    </row>
    <row r="59" spans="1:21" x14ac:dyDescent="0.3">
      <c r="A59" s="3">
        <v>45349</v>
      </c>
      <c r="B59" s="1" t="s">
        <v>70</v>
      </c>
      <c r="C59" s="1" t="s">
        <v>22</v>
      </c>
      <c r="D59" s="1">
        <v>2024</v>
      </c>
      <c r="E59" s="1" t="s">
        <v>30</v>
      </c>
      <c r="F59" s="1" t="s">
        <v>31</v>
      </c>
      <c r="G59" s="1" t="s">
        <v>35</v>
      </c>
      <c r="H59" s="1" t="s">
        <v>26</v>
      </c>
      <c r="I59" s="1" t="s">
        <v>64</v>
      </c>
      <c r="J59" s="1">
        <v>20</v>
      </c>
      <c r="K59" s="1">
        <v>36047</v>
      </c>
      <c r="L59" s="1">
        <f t="shared" si="0"/>
        <v>720940</v>
      </c>
      <c r="M59" s="1">
        <f t="shared" si="1"/>
        <v>540705</v>
      </c>
      <c r="N59" s="1">
        <f t="shared" si="2"/>
        <v>180235</v>
      </c>
      <c r="O59" s="4">
        <f t="shared" si="3"/>
        <v>0.25</v>
      </c>
      <c r="P59" s="1" t="s">
        <v>28</v>
      </c>
      <c r="Q59" s="1" t="s">
        <v>47</v>
      </c>
      <c r="R59" s="1">
        <f t="shared" si="4"/>
        <v>793034.00000000012</v>
      </c>
      <c r="S59" s="1">
        <v>720940</v>
      </c>
      <c r="T59" s="5">
        <f t="shared" si="5"/>
        <v>0.90909090909090895</v>
      </c>
      <c r="U59" s="4">
        <f t="shared" si="6"/>
        <v>1.4021812663397292E-6</v>
      </c>
    </row>
    <row r="60" spans="1:21" x14ac:dyDescent="0.3">
      <c r="A60" s="3">
        <v>45350</v>
      </c>
      <c r="B60" s="1" t="s">
        <v>70</v>
      </c>
      <c r="C60" s="1" t="s">
        <v>22</v>
      </c>
      <c r="D60" s="1">
        <v>2024</v>
      </c>
      <c r="E60" s="1" t="s">
        <v>30</v>
      </c>
      <c r="F60" s="1" t="s">
        <v>54</v>
      </c>
      <c r="G60" s="1" t="s">
        <v>53</v>
      </c>
      <c r="H60" s="1" t="s">
        <v>33</v>
      </c>
      <c r="I60" s="1" t="s">
        <v>34</v>
      </c>
      <c r="J60" s="1">
        <v>30</v>
      </c>
      <c r="K60" s="1">
        <v>24293</v>
      </c>
      <c r="L60" s="1">
        <f t="shared" si="0"/>
        <v>728790</v>
      </c>
      <c r="M60" s="1">
        <f t="shared" si="1"/>
        <v>546592.5</v>
      </c>
      <c r="N60" s="1">
        <f t="shared" si="2"/>
        <v>182197.5</v>
      </c>
      <c r="O60" s="4">
        <f t="shared" si="3"/>
        <v>0.25</v>
      </c>
      <c r="P60" s="1" t="s">
        <v>28</v>
      </c>
      <c r="Q60" s="1" t="s">
        <v>29</v>
      </c>
      <c r="R60" s="1">
        <f t="shared" si="4"/>
        <v>801669.00000000012</v>
      </c>
      <c r="S60" s="1">
        <v>728790</v>
      </c>
      <c r="T60" s="5">
        <f t="shared" si="5"/>
        <v>0.90909090909090895</v>
      </c>
      <c r="U60" s="4">
        <f t="shared" si="6"/>
        <v>2.2801741739400908E-7</v>
      </c>
    </row>
    <row r="61" spans="1:21" x14ac:dyDescent="0.3">
      <c r="A61" s="3">
        <v>45351</v>
      </c>
      <c r="B61" s="1" t="s">
        <v>70</v>
      </c>
      <c r="C61" s="1" t="s">
        <v>22</v>
      </c>
      <c r="D61" s="1">
        <v>2024</v>
      </c>
      <c r="E61" s="1" t="s">
        <v>48</v>
      </c>
      <c r="F61" s="1" t="s">
        <v>65</v>
      </c>
      <c r="G61" s="1" t="s">
        <v>35</v>
      </c>
      <c r="H61" s="1" t="s">
        <v>36</v>
      </c>
      <c r="I61" s="1" t="s">
        <v>52</v>
      </c>
      <c r="J61" s="1">
        <v>26</v>
      </c>
      <c r="K61" s="1">
        <v>4658</v>
      </c>
      <c r="L61" s="1">
        <f t="shared" si="0"/>
        <v>121108</v>
      </c>
      <c r="M61" s="1">
        <f t="shared" si="1"/>
        <v>90831</v>
      </c>
      <c r="N61" s="1">
        <f t="shared" si="2"/>
        <v>30277</v>
      </c>
      <c r="O61" s="4">
        <f t="shared" si="3"/>
        <v>0.25</v>
      </c>
      <c r="P61" s="1" t="s">
        <v>28</v>
      </c>
      <c r="Q61" s="1" t="s">
        <v>29</v>
      </c>
      <c r="R61" s="1">
        <f t="shared" si="4"/>
        <v>133218.80000000002</v>
      </c>
      <c r="S61" s="1">
        <v>121108</v>
      </c>
      <c r="T61" s="5">
        <f t="shared" si="5"/>
        <v>0.90909090909090895</v>
      </c>
      <c r="U61" s="4">
        <f t="shared" si="6"/>
        <v>3.8371605229105164E-5</v>
      </c>
    </row>
    <row r="62" spans="1:21" x14ac:dyDescent="0.3">
      <c r="A62" s="3">
        <v>45352</v>
      </c>
      <c r="B62" s="1" t="s">
        <v>75</v>
      </c>
      <c r="C62" s="1" t="s">
        <v>22</v>
      </c>
      <c r="D62" s="1">
        <v>2024</v>
      </c>
      <c r="E62" s="1" t="s">
        <v>61</v>
      </c>
      <c r="F62" s="1" t="s">
        <v>66</v>
      </c>
      <c r="G62" s="1" t="s">
        <v>35</v>
      </c>
      <c r="H62" s="1" t="s">
        <v>26</v>
      </c>
      <c r="I62" s="1" t="s">
        <v>74</v>
      </c>
      <c r="J62" s="1">
        <v>17</v>
      </c>
      <c r="K62" s="1">
        <v>33106</v>
      </c>
      <c r="L62" s="1">
        <f t="shared" si="0"/>
        <v>562802</v>
      </c>
      <c r="M62" s="1">
        <f t="shared" si="1"/>
        <v>422101.5</v>
      </c>
      <c r="N62" s="1">
        <f t="shared" si="2"/>
        <v>140700.5</v>
      </c>
      <c r="O62" s="4">
        <f t="shared" si="3"/>
        <v>0.25</v>
      </c>
      <c r="P62" s="1" t="s">
        <v>28</v>
      </c>
      <c r="Q62" s="1" t="s">
        <v>29</v>
      </c>
      <c r="R62" s="1">
        <f t="shared" si="4"/>
        <v>619082.20000000007</v>
      </c>
      <c r="S62" s="1">
        <v>562802</v>
      </c>
      <c r="T62" s="5">
        <f t="shared" si="5"/>
        <v>0.90909090909090895</v>
      </c>
      <c r="U62" s="4">
        <f t="shared" si="6"/>
        <v>2.4863069249141687E-6</v>
      </c>
    </row>
    <row r="63" spans="1:21" x14ac:dyDescent="0.3">
      <c r="A63" s="3">
        <v>45353</v>
      </c>
      <c r="B63" s="1" t="s">
        <v>75</v>
      </c>
      <c r="C63" s="1" t="s">
        <v>22</v>
      </c>
      <c r="D63" s="1">
        <v>2024</v>
      </c>
      <c r="E63" s="1" t="s">
        <v>48</v>
      </c>
      <c r="F63" s="1" t="s">
        <v>49</v>
      </c>
      <c r="G63" s="1" t="s">
        <v>73</v>
      </c>
      <c r="H63" s="1" t="s">
        <v>26</v>
      </c>
      <c r="I63" s="1" t="s">
        <v>27</v>
      </c>
      <c r="J63" s="1">
        <v>14</v>
      </c>
      <c r="K63" s="1">
        <v>56252</v>
      </c>
      <c r="L63" s="1">
        <f t="shared" si="0"/>
        <v>787528</v>
      </c>
      <c r="M63" s="1">
        <f t="shared" si="1"/>
        <v>590646</v>
      </c>
      <c r="N63" s="1">
        <f t="shared" si="2"/>
        <v>196882</v>
      </c>
      <c r="O63" s="4">
        <f t="shared" si="3"/>
        <v>0.25</v>
      </c>
      <c r="P63" s="1" t="s">
        <v>28</v>
      </c>
      <c r="Q63" s="1" t="s">
        <v>29</v>
      </c>
      <c r="R63" s="1">
        <f t="shared" si="4"/>
        <v>866280.8</v>
      </c>
      <c r="S63" s="1">
        <v>787528</v>
      </c>
      <c r="T63" s="5">
        <f t="shared" si="5"/>
        <v>0.90909090909090906</v>
      </c>
      <c r="U63" s="4">
        <f t="shared" si="6"/>
        <v>2.3915658837100179E-6</v>
      </c>
    </row>
    <row r="64" spans="1:21" x14ac:dyDescent="0.3">
      <c r="A64" s="3">
        <v>45354</v>
      </c>
      <c r="B64" s="1" t="s">
        <v>75</v>
      </c>
      <c r="C64" s="1" t="s">
        <v>22</v>
      </c>
      <c r="D64" s="1">
        <v>2024</v>
      </c>
      <c r="E64" s="1" t="s">
        <v>61</v>
      </c>
      <c r="F64" s="1" t="s">
        <v>67</v>
      </c>
      <c r="G64" s="1" t="s">
        <v>25</v>
      </c>
      <c r="H64" s="1" t="s">
        <v>36</v>
      </c>
      <c r="I64" s="1" t="s">
        <v>69</v>
      </c>
      <c r="J64" s="1">
        <v>34</v>
      </c>
      <c r="K64" s="1">
        <v>43625</v>
      </c>
      <c r="L64" s="1">
        <f t="shared" si="0"/>
        <v>1483250</v>
      </c>
      <c r="M64" s="1">
        <f t="shared" si="1"/>
        <v>1112437.5</v>
      </c>
      <c r="N64" s="1">
        <f t="shared" si="2"/>
        <v>370812.5</v>
      </c>
      <c r="O64" s="4">
        <f t="shared" si="3"/>
        <v>0.25</v>
      </c>
      <c r="P64" s="1" t="s">
        <v>38</v>
      </c>
      <c r="Q64" s="1" t="s">
        <v>47</v>
      </c>
      <c r="R64" s="1">
        <f t="shared" si="4"/>
        <v>1631575.0000000002</v>
      </c>
      <c r="S64" s="1">
        <v>1483250</v>
      </c>
      <c r="T64" s="5">
        <f t="shared" si="5"/>
        <v>0.90909090909090895</v>
      </c>
      <c r="U64" s="4">
        <f t="shared" si="6"/>
        <v>3.3655805179297368E-7</v>
      </c>
    </row>
    <row r="65" spans="1:21" x14ac:dyDescent="0.3">
      <c r="A65" s="3">
        <v>45355</v>
      </c>
      <c r="B65" s="1" t="s">
        <v>75</v>
      </c>
      <c r="C65" s="1" t="s">
        <v>22</v>
      </c>
      <c r="D65" s="1">
        <v>2024</v>
      </c>
      <c r="E65" s="1" t="s">
        <v>30</v>
      </c>
      <c r="F65" s="1" t="s">
        <v>54</v>
      </c>
      <c r="G65" s="1" t="s">
        <v>35</v>
      </c>
      <c r="H65" s="1" t="s">
        <v>41</v>
      </c>
      <c r="I65" s="1" t="s">
        <v>60</v>
      </c>
      <c r="J65" s="1">
        <v>47</v>
      </c>
      <c r="K65" s="1">
        <v>15754</v>
      </c>
      <c r="L65" s="1">
        <f t="shared" si="0"/>
        <v>740438</v>
      </c>
      <c r="M65" s="1">
        <f t="shared" si="1"/>
        <v>555328.5</v>
      </c>
      <c r="N65" s="1">
        <f t="shared" si="2"/>
        <v>185109.5</v>
      </c>
      <c r="O65" s="4">
        <f t="shared" si="3"/>
        <v>0.25</v>
      </c>
      <c r="P65" s="1" t="s">
        <v>28</v>
      </c>
      <c r="Q65" s="1" t="s">
        <v>47</v>
      </c>
      <c r="R65" s="1">
        <f t="shared" si="4"/>
        <v>814481.8</v>
      </c>
      <c r="S65" s="1">
        <v>740438</v>
      </c>
      <c r="T65" s="5">
        <f t="shared" si="5"/>
        <v>0.90909090909090906</v>
      </c>
      <c r="U65" s="4">
        <f t="shared" si="6"/>
        <v>2.4430165636681853E-7</v>
      </c>
    </row>
    <row r="66" spans="1:21" x14ac:dyDescent="0.3">
      <c r="A66" s="3">
        <v>45356</v>
      </c>
      <c r="B66" s="1" t="s">
        <v>75</v>
      </c>
      <c r="C66" s="1" t="s">
        <v>22</v>
      </c>
      <c r="D66" s="1">
        <v>2024</v>
      </c>
      <c r="E66" s="1" t="s">
        <v>23</v>
      </c>
      <c r="F66" s="1" t="s">
        <v>43</v>
      </c>
      <c r="G66" s="1" t="s">
        <v>59</v>
      </c>
      <c r="H66" s="1" t="s">
        <v>33</v>
      </c>
      <c r="I66" s="1" t="s">
        <v>34</v>
      </c>
      <c r="J66" s="1">
        <v>18</v>
      </c>
      <c r="K66" s="1">
        <v>7441</v>
      </c>
      <c r="L66" s="1">
        <f t="shared" si="0"/>
        <v>133938</v>
      </c>
      <c r="M66" s="1">
        <f t="shared" si="1"/>
        <v>100453.5</v>
      </c>
      <c r="N66" s="1">
        <f t="shared" si="2"/>
        <v>33484.5</v>
      </c>
      <c r="O66" s="4">
        <f t="shared" si="3"/>
        <v>0.25</v>
      </c>
      <c r="P66" s="1" t="s">
        <v>28</v>
      </c>
      <c r="Q66" s="1" t="s">
        <v>29</v>
      </c>
      <c r="R66" s="1">
        <f t="shared" si="4"/>
        <v>147331.80000000002</v>
      </c>
      <c r="S66" s="1">
        <v>133938</v>
      </c>
      <c r="T66" s="5">
        <f t="shared" si="5"/>
        <v>0.90909090909090895</v>
      </c>
      <c r="U66" s="4">
        <f t="shared" si="6"/>
        <v>4.9117841013438318E-5</v>
      </c>
    </row>
    <row r="67" spans="1:21" x14ac:dyDescent="0.3">
      <c r="A67" s="3">
        <v>45357</v>
      </c>
      <c r="B67" s="1" t="s">
        <v>75</v>
      </c>
      <c r="C67" s="1" t="s">
        <v>22</v>
      </c>
      <c r="D67" s="1">
        <v>2024</v>
      </c>
      <c r="E67" s="1" t="s">
        <v>61</v>
      </c>
      <c r="F67" s="1" t="s">
        <v>66</v>
      </c>
      <c r="G67" s="1" t="s">
        <v>71</v>
      </c>
      <c r="H67" s="1" t="s">
        <v>33</v>
      </c>
      <c r="I67" s="1" t="s">
        <v>55</v>
      </c>
      <c r="J67" s="1">
        <v>17</v>
      </c>
      <c r="K67" s="1">
        <v>51832</v>
      </c>
      <c r="L67" s="1">
        <f t="shared" ref="L67:L130" si="7">J67*K67</f>
        <v>881144</v>
      </c>
      <c r="M67" s="1">
        <f t="shared" ref="M67:M130" si="8">L67*0.75</f>
        <v>660858</v>
      </c>
      <c r="N67" s="1">
        <f t="shared" ref="N67:N130" si="9">L67-M67</f>
        <v>220286</v>
      </c>
      <c r="O67" s="4">
        <f t="shared" ref="O67:O130" si="10">N67/L67</f>
        <v>0.25</v>
      </c>
      <c r="P67" s="1" t="s">
        <v>38</v>
      </c>
      <c r="Q67" s="1" t="s">
        <v>47</v>
      </c>
      <c r="R67" s="1">
        <f t="shared" ref="R67:R130" si="11">L67*1.1</f>
        <v>969258.4</v>
      </c>
      <c r="S67" s="1">
        <v>881144</v>
      </c>
      <c r="T67" s="5">
        <f t="shared" ref="T67:T130" si="12">S67/R67</f>
        <v>0.90909090909090906</v>
      </c>
      <c r="U67" s="4">
        <f t="shared" ref="U67:U130" si="13">L68/L67/L67</f>
        <v>1.2364525552391631E-8</v>
      </c>
    </row>
    <row r="68" spans="1:21" x14ac:dyDescent="0.3">
      <c r="A68" s="3">
        <v>45358</v>
      </c>
      <c r="B68" s="1" t="s">
        <v>75</v>
      </c>
      <c r="C68" s="1" t="s">
        <v>22</v>
      </c>
      <c r="D68" s="1">
        <v>2024</v>
      </c>
      <c r="E68" s="1" t="s">
        <v>23</v>
      </c>
      <c r="F68" s="1" t="s">
        <v>24</v>
      </c>
      <c r="G68" s="1" t="s">
        <v>44</v>
      </c>
      <c r="H68" s="1" t="s">
        <v>33</v>
      </c>
      <c r="I68" s="1" t="s">
        <v>45</v>
      </c>
      <c r="J68" s="1">
        <v>2</v>
      </c>
      <c r="K68" s="1">
        <v>4800</v>
      </c>
      <c r="L68" s="1">
        <f t="shared" si="7"/>
        <v>9600</v>
      </c>
      <c r="M68" s="1">
        <f t="shared" si="8"/>
        <v>7200</v>
      </c>
      <c r="N68" s="1">
        <f t="shared" si="9"/>
        <v>2400</v>
      </c>
      <c r="O68" s="4">
        <f t="shared" si="10"/>
        <v>0.25</v>
      </c>
      <c r="P68" s="1" t="s">
        <v>28</v>
      </c>
      <c r="Q68" s="1" t="s">
        <v>47</v>
      </c>
      <c r="R68" s="1">
        <f t="shared" si="11"/>
        <v>10560</v>
      </c>
      <c r="S68" s="1">
        <v>9600</v>
      </c>
      <c r="T68" s="5">
        <f t="shared" si="12"/>
        <v>0.90909090909090906</v>
      </c>
      <c r="U68" s="4">
        <f t="shared" si="13"/>
        <v>6.1103515625000003E-4</v>
      </c>
    </row>
    <row r="69" spans="1:21" x14ac:dyDescent="0.3">
      <c r="A69" s="3">
        <v>45359</v>
      </c>
      <c r="B69" s="1" t="s">
        <v>75</v>
      </c>
      <c r="C69" s="1" t="s">
        <v>22</v>
      </c>
      <c r="D69" s="1">
        <v>2024</v>
      </c>
      <c r="E69" s="1" t="s">
        <v>30</v>
      </c>
      <c r="F69" s="1" t="s">
        <v>31</v>
      </c>
      <c r="G69" s="1" t="s">
        <v>25</v>
      </c>
      <c r="H69" s="1" t="s">
        <v>41</v>
      </c>
      <c r="I69" s="1" t="s">
        <v>42</v>
      </c>
      <c r="J69" s="1">
        <v>3</v>
      </c>
      <c r="K69" s="1">
        <v>18771</v>
      </c>
      <c r="L69" s="1">
        <f t="shared" si="7"/>
        <v>56313</v>
      </c>
      <c r="M69" s="1">
        <f t="shared" si="8"/>
        <v>42234.75</v>
      </c>
      <c r="N69" s="1">
        <f t="shared" si="9"/>
        <v>14078.25</v>
      </c>
      <c r="O69" s="4">
        <f t="shared" si="10"/>
        <v>0.25</v>
      </c>
      <c r="P69" s="1" t="s">
        <v>28</v>
      </c>
      <c r="Q69" s="1" t="s">
        <v>47</v>
      </c>
      <c r="R69" s="1">
        <f t="shared" si="11"/>
        <v>61944.3</v>
      </c>
      <c r="S69" s="1">
        <v>56313</v>
      </c>
      <c r="T69" s="5">
        <f t="shared" si="12"/>
        <v>0.90909090909090906</v>
      </c>
      <c r="U69" s="4">
        <f t="shared" si="13"/>
        <v>9.8624034990840896E-5</v>
      </c>
    </row>
    <row r="70" spans="1:21" x14ac:dyDescent="0.3">
      <c r="A70" s="3">
        <v>45360</v>
      </c>
      <c r="B70" s="1" t="s">
        <v>75</v>
      </c>
      <c r="C70" s="1" t="s">
        <v>22</v>
      </c>
      <c r="D70" s="1">
        <v>2024</v>
      </c>
      <c r="E70" s="1" t="s">
        <v>30</v>
      </c>
      <c r="F70" s="1" t="s">
        <v>54</v>
      </c>
      <c r="G70" s="1" t="s">
        <v>32</v>
      </c>
      <c r="H70" s="1" t="s">
        <v>33</v>
      </c>
      <c r="I70" s="1" t="s">
        <v>34</v>
      </c>
      <c r="J70" s="1">
        <v>22</v>
      </c>
      <c r="K70" s="1">
        <v>14216</v>
      </c>
      <c r="L70" s="1">
        <f t="shared" si="7"/>
        <v>312752</v>
      </c>
      <c r="M70" s="1">
        <f t="shared" si="8"/>
        <v>234564</v>
      </c>
      <c r="N70" s="1">
        <f t="shared" si="9"/>
        <v>78188</v>
      </c>
      <c r="O70" s="4">
        <f t="shared" si="10"/>
        <v>0.25</v>
      </c>
      <c r="P70" s="1" t="s">
        <v>28</v>
      </c>
      <c r="Q70" s="1" t="s">
        <v>29</v>
      </c>
      <c r="R70" s="1">
        <f t="shared" si="11"/>
        <v>344027.2</v>
      </c>
      <c r="S70" s="1">
        <v>312752</v>
      </c>
      <c r="T70" s="5">
        <f t="shared" si="12"/>
        <v>0.90909090909090906</v>
      </c>
      <c r="U70" s="4">
        <f t="shared" si="13"/>
        <v>2.191806988398758E-6</v>
      </c>
    </row>
    <row r="71" spans="1:21" x14ac:dyDescent="0.3">
      <c r="A71" s="3">
        <v>45361</v>
      </c>
      <c r="B71" s="1" t="s">
        <v>75</v>
      </c>
      <c r="C71" s="1" t="s">
        <v>22</v>
      </c>
      <c r="D71" s="1">
        <v>2024</v>
      </c>
      <c r="E71" s="1" t="s">
        <v>61</v>
      </c>
      <c r="F71" s="1" t="s">
        <v>67</v>
      </c>
      <c r="G71" s="1" t="s">
        <v>57</v>
      </c>
      <c r="H71" s="1" t="s">
        <v>26</v>
      </c>
      <c r="I71" s="1" t="s">
        <v>58</v>
      </c>
      <c r="J71" s="1">
        <v>9</v>
      </c>
      <c r="K71" s="1">
        <v>23821</v>
      </c>
      <c r="L71" s="1">
        <f t="shared" si="7"/>
        <v>214389</v>
      </c>
      <c r="M71" s="1">
        <f t="shared" si="8"/>
        <v>160791.75</v>
      </c>
      <c r="N71" s="1">
        <f t="shared" si="9"/>
        <v>53597.25</v>
      </c>
      <c r="O71" s="4">
        <f t="shared" si="10"/>
        <v>0.25</v>
      </c>
      <c r="P71" s="1" t="s">
        <v>28</v>
      </c>
      <c r="Q71" s="1" t="s">
        <v>47</v>
      </c>
      <c r="R71" s="1">
        <f t="shared" si="11"/>
        <v>235827.90000000002</v>
      </c>
      <c r="S71" s="1">
        <v>214389</v>
      </c>
      <c r="T71" s="5">
        <f t="shared" si="12"/>
        <v>0.90909090909090895</v>
      </c>
      <c r="U71" s="4">
        <f t="shared" si="13"/>
        <v>2.5547703855915921E-6</v>
      </c>
    </row>
    <row r="72" spans="1:21" x14ac:dyDescent="0.3">
      <c r="A72" s="3">
        <v>45362</v>
      </c>
      <c r="B72" s="1" t="s">
        <v>75</v>
      </c>
      <c r="C72" s="1" t="s">
        <v>22</v>
      </c>
      <c r="D72" s="1">
        <v>2024</v>
      </c>
      <c r="E72" s="1" t="s">
        <v>50</v>
      </c>
      <c r="F72" s="1" t="s">
        <v>51</v>
      </c>
      <c r="G72" s="1" t="s">
        <v>57</v>
      </c>
      <c r="H72" s="1" t="s">
        <v>41</v>
      </c>
      <c r="I72" s="1" t="s">
        <v>42</v>
      </c>
      <c r="J72" s="1">
        <v>8</v>
      </c>
      <c r="K72" s="1">
        <v>14678</v>
      </c>
      <c r="L72" s="1">
        <f t="shared" si="7"/>
        <v>117424</v>
      </c>
      <c r="M72" s="1">
        <f t="shared" si="8"/>
        <v>88068</v>
      </c>
      <c r="N72" s="1">
        <f t="shared" si="9"/>
        <v>29356</v>
      </c>
      <c r="O72" s="4">
        <f t="shared" si="10"/>
        <v>0.25</v>
      </c>
      <c r="P72" s="1" t="s">
        <v>28</v>
      </c>
      <c r="Q72" s="1" t="s">
        <v>29</v>
      </c>
      <c r="R72" s="1">
        <f t="shared" si="11"/>
        <v>129166.40000000001</v>
      </c>
      <c r="S72" s="1">
        <v>117424</v>
      </c>
      <c r="T72" s="5">
        <f t="shared" si="12"/>
        <v>0.90909090909090906</v>
      </c>
      <c r="U72" s="4">
        <f t="shared" si="13"/>
        <v>9.6563807830170599E-6</v>
      </c>
    </row>
    <row r="73" spans="1:21" x14ac:dyDescent="0.3">
      <c r="A73" s="3">
        <v>45363</v>
      </c>
      <c r="B73" s="1" t="s">
        <v>75</v>
      </c>
      <c r="C73" s="1" t="s">
        <v>22</v>
      </c>
      <c r="D73" s="1">
        <v>2024</v>
      </c>
      <c r="E73" s="1" t="s">
        <v>48</v>
      </c>
      <c r="F73" s="1" t="s">
        <v>65</v>
      </c>
      <c r="G73" s="1" t="s">
        <v>25</v>
      </c>
      <c r="H73" s="1" t="s">
        <v>33</v>
      </c>
      <c r="I73" s="1" t="s">
        <v>45</v>
      </c>
      <c r="J73" s="1">
        <v>26</v>
      </c>
      <c r="K73" s="1">
        <v>5121</v>
      </c>
      <c r="L73" s="1">
        <f t="shared" si="7"/>
        <v>133146</v>
      </c>
      <c r="M73" s="1">
        <f t="shared" si="8"/>
        <v>99859.5</v>
      </c>
      <c r="N73" s="1">
        <f t="shared" si="9"/>
        <v>33286.5</v>
      </c>
      <c r="O73" s="4">
        <f t="shared" si="10"/>
        <v>0.25</v>
      </c>
      <c r="P73" s="1" t="s">
        <v>28</v>
      </c>
      <c r="Q73" s="1" t="s">
        <v>29</v>
      </c>
      <c r="R73" s="1">
        <f t="shared" si="11"/>
        <v>146460.6</v>
      </c>
      <c r="S73" s="1">
        <v>133146</v>
      </c>
      <c r="T73" s="5">
        <f t="shared" si="12"/>
        <v>0.90909090909090906</v>
      </c>
      <c r="U73" s="4">
        <f t="shared" si="13"/>
        <v>6.944381252938555E-5</v>
      </c>
    </row>
    <row r="74" spans="1:21" x14ac:dyDescent="0.3">
      <c r="A74" s="3">
        <v>45364</v>
      </c>
      <c r="B74" s="1" t="s">
        <v>75</v>
      </c>
      <c r="C74" s="1" t="s">
        <v>22</v>
      </c>
      <c r="D74" s="1">
        <v>2024</v>
      </c>
      <c r="E74" s="1" t="s">
        <v>30</v>
      </c>
      <c r="F74" s="1" t="s">
        <v>39</v>
      </c>
      <c r="G74" s="1" t="s">
        <v>44</v>
      </c>
      <c r="H74" s="1" t="s">
        <v>33</v>
      </c>
      <c r="I74" s="1" t="s">
        <v>34</v>
      </c>
      <c r="J74" s="1">
        <v>35</v>
      </c>
      <c r="K74" s="1">
        <v>35174</v>
      </c>
      <c r="L74" s="1">
        <f t="shared" si="7"/>
        <v>1231090</v>
      </c>
      <c r="M74" s="1">
        <f t="shared" si="8"/>
        <v>923317.5</v>
      </c>
      <c r="N74" s="1">
        <f t="shared" si="9"/>
        <v>307772.5</v>
      </c>
      <c r="O74" s="4">
        <f t="shared" si="10"/>
        <v>0.25</v>
      </c>
      <c r="P74" s="1" t="s">
        <v>28</v>
      </c>
      <c r="Q74" s="1" t="s">
        <v>29</v>
      </c>
      <c r="R74" s="1">
        <f t="shared" si="11"/>
        <v>1354199</v>
      </c>
      <c r="S74" s="1">
        <v>1231090</v>
      </c>
      <c r="T74" s="5">
        <f t="shared" si="12"/>
        <v>0.90909090909090906</v>
      </c>
      <c r="U74" s="4">
        <f t="shared" si="13"/>
        <v>1.4899089087786546E-7</v>
      </c>
    </row>
    <row r="75" spans="1:21" x14ac:dyDescent="0.3">
      <c r="A75" s="3">
        <v>45365</v>
      </c>
      <c r="B75" s="1" t="s">
        <v>75</v>
      </c>
      <c r="C75" s="1" t="s">
        <v>22</v>
      </c>
      <c r="D75" s="1">
        <v>2024</v>
      </c>
      <c r="E75" s="1" t="s">
        <v>61</v>
      </c>
      <c r="F75" s="1" t="s">
        <v>62</v>
      </c>
      <c r="G75" s="1" t="s">
        <v>71</v>
      </c>
      <c r="H75" s="1" t="s">
        <v>33</v>
      </c>
      <c r="I75" s="1" t="s">
        <v>34</v>
      </c>
      <c r="J75" s="1">
        <v>44</v>
      </c>
      <c r="K75" s="1">
        <v>5132</v>
      </c>
      <c r="L75" s="1">
        <f t="shared" si="7"/>
        <v>225808</v>
      </c>
      <c r="M75" s="1">
        <f t="shared" si="8"/>
        <v>169356</v>
      </c>
      <c r="N75" s="1">
        <f t="shared" si="9"/>
        <v>56452</v>
      </c>
      <c r="O75" s="4">
        <f t="shared" si="10"/>
        <v>0.25</v>
      </c>
      <c r="P75" s="1" t="s">
        <v>38</v>
      </c>
      <c r="Q75" s="1" t="s">
        <v>29</v>
      </c>
      <c r="R75" s="1">
        <f t="shared" si="11"/>
        <v>248388.80000000002</v>
      </c>
      <c r="S75" s="1">
        <v>225808</v>
      </c>
      <c r="T75" s="5">
        <f t="shared" si="12"/>
        <v>0.90909090909090906</v>
      </c>
      <c r="U75" s="4">
        <f t="shared" si="13"/>
        <v>8.9418843067988515E-6</v>
      </c>
    </row>
    <row r="76" spans="1:21" x14ac:dyDescent="0.3">
      <c r="A76" s="3">
        <v>45366</v>
      </c>
      <c r="B76" s="1" t="s">
        <v>75</v>
      </c>
      <c r="C76" s="1" t="s">
        <v>22</v>
      </c>
      <c r="D76" s="1">
        <v>2024</v>
      </c>
      <c r="E76" s="1" t="s">
        <v>50</v>
      </c>
      <c r="F76" s="1" t="s">
        <v>72</v>
      </c>
      <c r="G76" s="1" t="s">
        <v>40</v>
      </c>
      <c r="H76" s="1" t="s">
        <v>36</v>
      </c>
      <c r="I76" s="1" t="s">
        <v>69</v>
      </c>
      <c r="J76" s="1">
        <v>34</v>
      </c>
      <c r="K76" s="1">
        <v>13410</v>
      </c>
      <c r="L76" s="1">
        <f t="shared" si="7"/>
        <v>455940</v>
      </c>
      <c r="M76" s="1">
        <f t="shared" si="8"/>
        <v>341955</v>
      </c>
      <c r="N76" s="1">
        <f t="shared" si="9"/>
        <v>113985</v>
      </c>
      <c r="O76" s="4">
        <f t="shared" si="10"/>
        <v>0.25</v>
      </c>
      <c r="P76" s="1" t="s">
        <v>28</v>
      </c>
      <c r="Q76" s="1" t="s">
        <v>47</v>
      </c>
      <c r="R76" s="1">
        <f t="shared" si="11"/>
        <v>501534.00000000006</v>
      </c>
      <c r="S76" s="1">
        <v>455940</v>
      </c>
      <c r="T76" s="5">
        <f t="shared" si="12"/>
        <v>0.90909090909090895</v>
      </c>
      <c r="U76" s="4">
        <f t="shared" si="13"/>
        <v>1.0292052093139953E-5</v>
      </c>
    </row>
    <row r="77" spans="1:21" x14ac:dyDescent="0.3">
      <c r="A77" s="3">
        <v>45367</v>
      </c>
      <c r="B77" s="1" t="s">
        <v>75</v>
      </c>
      <c r="C77" s="1" t="s">
        <v>22</v>
      </c>
      <c r="D77" s="1">
        <v>2024</v>
      </c>
      <c r="E77" s="1" t="s">
        <v>23</v>
      </c>
      <c r="F77" s="1" t="s">
        <v>43</v>
      </c>
      <c r="G77" s="1" t="s">
        <v>44</v>
      </c>
      <c r="H77" s="1" t="s">
        <v>36</v>
      </c>
      <c r="I77" s="1" t="s">
        <v>37</v>
      </c>
      <c r="J77" s="1">
        <v>45</v>
      </c>
      <c r="K77" s="1">
        <v>47545</v>
      </c>
      <c r="L77" s="1">
        <f t="shared" si="7"/>
        <v>2139525</v>
      </c>
      <c r="M77" s="1">
        <f t="shared" si="8"/>
        <v>1604643.75</v>
      </c>
      <c r="N77" s="1">
        <f t="shared" si="9"/>
        <v>534881.25</v>
      </c>
      <c r="O77" s="4">
        <f t="shared" si="10"/>
        <v>0.25</v>
      </c>
      <c r="P77" s="1" t="s">
        <v>28</v>
      </c>
      <c r="Q77" s="1" t="s">
        <v>29</v>
      </c>
      <c r="R77" s="1">
        <f t="shared" si="11"/>
        <v>2353477.5</v>
      </c>
      <c r="S77" s="1">
        <v>2139525</v>
      </c>
      <c r="T77" s="5">
        <f t="shared" si="12"/>
        <v>0.90909090909090906</v>
      </c>
      <c r="U77" s="4">
        <f t="shared" si="13"/>
        <v>1.6592656373196047E-8</v>
      </c>
    </row>
    <row r="78" spans="1:21" x14ac:dyDescent="0.3">
      <c r="A78" s="3">
        <v>45368</v>
      </c>
      <c r="B78" s="1" t="s">
        <v>75</v>
      </c>
      <c r="C78" s="1" t="s">
        <v>22</v>
      </c>
      <c r="D78" s="1">
        <v>2024</v>
      </c>
      <c r="E78" s="1" t="s">
        <v>23</v>
      </c>
      <c r="F78" s="1" t="s">
        <v>43</v>
      </c>
      <c r="G78" s="1" t="s">
        <v>25</v>
      </c>
      <c r="H78" s="1" t="s">
        <v>36</v>
      </c>
      <c r="I78" s="1" t="s">
        <v>52</v>
      </c>
      <c r="J78" s="1">
        <v>3</v>
      </c>
      <c r="K78" s="1">
        <v>25318</v>
      </c>
      <c r="L78" s="1">
        <f t="shared" si="7"/>
        <v>75954</v>
      </c>
      <c r="M78" s="1">
        <f t="shared" si="8"/>
        <v>56965.5</v>
      </c>
      <c r="N78" s="1">
        <f t="shared" si="9"/>
        <v>18988.5</v>
      </c>
      <c r="O78" s="4">
        <f t="shared" si="10"/>
        <v>0.25</v>
      </c>
      <c r="P78" s="1" t="s">
        <v>28</v>
      </c>
      <c r="Q78" s="1" t="s">
        <v>47</v>
      </c>
      <c r="R78" s="1">
        <f t="shared" si="11"/>
        <v>83549.400000000009</v>
      </c>
      <c r="S78" s="1">
        <v>75954</v>
      </c>
      <c r="T78" s="5">
        <f t="shared" si="12"/>
        <v>0.90909090909090895</v>
      </c>
      <c r="U78" s="4">
        <f t="shared" si="13"/>
        <v>4.0077326153192691E-4</v>
      </c>
    </row>
    <row r="79" spans="1:21" x14ac:dyDescent="0.3">
      <c r="A79" s="3">
        <v>45369</v>
      </c>
      <c r="B79" s="1" t="s">
        <v>75</v>
      </c>
      <c r="C79" s="1" t="s">
        <v>22</v>
      </c>
      <c r="D79" s="1">
        <v>2024</v>
      </c>
      <c r="E79" s="1" t="s">
        <v>23</v>
      </c>
      <c r="F79" s="1" t="s">
        <v>63</v>
      </c>
      <c r="G79" s="1" t="s">
        <v>40</v>
      </c>
      <c r="H79" s="1" t="s">
        <v>36</v>
      </c>
      <c r="I79" s="1" t="s">
        <v>69</v>
      </c>
      <c r="J79" s="1">
        <v>49</v>
      </c>
      <c r="K79" s="1">
        <v>47185</v>
      </c>
      <c r="L79" s="1">
        <f t="shared" si="7"/>
        <v>2312065</v>
      </c>
      <c r="M79" s="1">
        <f t="shared" si="8"/>
        <v>1734048.75</v>
      </c>
      <c r="N79" s="1">
        <f t="shared" si="9"/>
        <v>578016.25</v>
      </c>
      <c r="O79" s="4">
        <f t="shared" si="10"/>
        <v>0.25</v>
      </c>
      <c r="P79" s="1" t="s">
        <v>28</v>
      </c>
      <c r="Q79" s="1" t="s">
        <v>47</v>
      </c>
      <c r="R79" s="1">
        <f t="shared" si="11"/>
        <v>2543271.5</v>
      </c>
      <c r="S79" s="1">
        <v>2312065</v>
      </c>
      <c r="T79" s="5">
        <f t="shared" si="12"/>
        <v>0.90909090909090906</v>
      </c>
      <c r="U79" s="4">
        <f t="shared" si="13"/>
        <v>2.0118060358843087E-8</v>
      </c>
    </row>
    <row r="80" spans="1:21" x14ac:dyDescent="0.3">
      <c r="A80" s="3">
        <v>45370</v>
      </c>
      <c r="B80" s="1" t="s">
        <v>75</v>
      </c>
      <c r="C80" s="1" t="s">
        <v>22</v>
      </c>
      <c r="D80" s="1">
        <v>2024</v>
      </c>
      <c r="E80" s="1" t="s">
        <v>48</v>
      </c>
      <c r="F80" s="1" t="s">
        <v>65</v>
      </c>
      <c r="G80" s="1" t="s">
        <v>32</v>
      </c>
      <c r="H80" s="1" t="s">
        <v>33</v>
      </c>
      <c r="I80" s="1" t="s">
        <v>34</v>
      </c>
      <c r="J80" s="1">
        <v>4</v>
      </c>
      <c r="K80" s="1">
        <v>26886</v>
      </c>
      <c r="L80" s="1">
        <f t="shared" si="7"/>
        <v>107544</v>
      </c>
      <c r="M80" s="1">
        <f t="shared" si="8"/>
        <v>80658</v>
      </c>
      <c r="N80" s="1">
        <f t="shared" si="9"/>
        <v>26886</v>
      </c>
      <c r="O80" s="4">
        <f t="shared" si="10"/>
        <v>0.25</v>
      </c>
      <c r="P80" s="1" t="s">
        <v>38</v>
      </c>
      <c r="Q80" s="1" t="s">
        <v>29</v>
      </c>
      <c r="R80" s="1">
        <f t="shared" si="11"/>
        <v>118298.40000000001</v>
      </c>
      <c r="S80" s="1">
        <v>107544</v>
      </c>
      <c r="T80" s="5">
        <f t="shared" si="12"/>
        <v>0.90909090909090906</v>
      </c>
      <c r="U80" s="4">
        <f t="shared" si="13"/>
        <v>5.3506433795378252E-6</v>
      </c>
    </row>
    <row r="81" spans="1:21" x14ac:dyDescent="0.3">
      <c r="A81" s="3">
        <v>45371</v>
      </c>
      <c r="B81" s="1" t="s">
        <v>75</v>
      </c>
      <c r="C81" s="1" t="s">
        <v>22</v>
      </c>
      <c r="D81" s="1">
        <v>2024</v>
      </c>
      <c r="E81" s="1" t="s">
        <v>50</v>
      </c>
      <c r="F81" s="1" t="s">
        <v>72</v>
      </c>
      <c r="G81" s="1" t="s">
        <v>40</v>
      </c>
      <c r="H81" s="1" t="s">
        <v>26</v>
      </c>
      <c r="I81" s="1" t="s">
        <v>58</v>
      </c>
      <c r="J81" s="1">
        <v>3</v>
      </c>
      <c r="K81" s="1">
        <v>20628</v>
      </c>
      <c r="L81" s="1">
        <f t="shared" si="7"/>
        <v>61884</v>
      </c>
      <c r="M81" s="1">
        <f t="shared" si="8"/>
        <v>46413</v>
      </c>
      <c r="N81" s="1">
        <f t="shared" si="9"/>
        <v>15471</v>
      </c>
      <c r="O81" s="4">
        <f t="shared" si="10"/>
        <v>0.25</v>
      </c>
      <c r="P81" s="1" t="s">
        <v>38</v>
      </c>
      <c r="Q81" s="1" t="s">
        <v>47</v>
      </c>
      <c r="R81" s="1">
        <f t="shared" si="11"/>
        <v>68072.400000000009</v>
      </c>
      <c r="S81" s="1">
        <v>61884</v>
      </c>
      <c r="T81" s="5">
        <f t="shared" si="12"/>
        <v>0.90909090909090895</v>
      </c>
      <c r="U81" s="4">
        <f t="shared" si="13"/>
        <v>4.2352191475310193E-4</v>
      </c>
    </row>
    <row r="82" spans="1:21" x14ac:dyDescent="0.3">
      <c r="A82" s="3">
        <v>45372</v>
      </c>
      <c r="B82" s="1" t="s">
        <v>75</v>
      </c>
      <c r="C82" s="1" t="s">
        <v>22</v>
      </c>
      <c r="D82" s="1">
        <v>2024</v>
      </c>
      <c r="E82" s="1" t="s">
        <v>48</v>
      </c>
      <c r="F82" s="1" t="s">
        <v>68</v>
      </c>
      <c r="G82" s="1" t="s">
        <v>25</v>
      </c>
      <c r="H82" s="1" t="s">
        <v>33</v>
      </c>
      <c r="I82" s="1" t="s">
        <v>45</v>
      </c>
      <c r="J82" s="1">
        <v>37</v>
      </c>
      <c r="K82" s="1">
        <v>43836</v>
      </c>
      <c r="L82" s="1">
        <f t="shared" si="7"/>
        <v>1621932</v>
      </c>
      <c r="M82" s="1">
        <f t="shared" si="8"/>
        <v>1216449</v>
      </c>
      <c r="N82" s="1">
        <f t="shared" si="9"/>
        <v>405483</v>
      </c>
      <c r="O82" s="4">
        <f t="shared" si="10"/>
        <v>0.25</v>
      </c>
      <c r="P82" s="1" t="s">
        <v>28</v>
      </c>
      <c r="Q82" s="1" t="s">
        <v>29</v>
      </c>
      <c r="R82" s="1">
        <f t="shared" si="11"/>
        <v>1784125.2000000002</v>
      </c>
      <c r="S82" s="1">
        <v>1621932</v>
      </c>
      <c r="T82" s="5">
        <f t="shared" si="12"/>
        <v>0.90909090909090895</v>
      </c>
      <c r="U82" s="4">
        <f t="shared" si="13"/>
        <v>2.4068453492058254E-8</v>
      </c>
    </row>
    <row r="83" spans="1:21" x14ac:dyDescent="0.3">
      <c r="A83" s="3">
        <v>45373</v>
      </c>
      <c r="B83" s="1" t="s">
        <v>75</v>
      </c>
      <c r="C83" s="1" t="s">
        <v>22</v>
      </c>
      <c r="D83" s="1">
        <v>2024</v>
      </c>
      <c r="E83" s="1" t="s">
        <v>61</v>
      </c>
      <c r="F83" s="1" t="s">
        <v>62</v>
      </c>
      <c r="G83" s="1" t="s">
        <v>44</v>
      </c>
      <c r="H83" s="1" t="s">
        <v>33</v>
      </c>
      <c r="I83" s="1" t="s">
        <v>45</v>
      </c>
      <c r="J83" s="1">
        <v>11</v>
      </c>
      <c r="K83" s="1">
        <v>5756</v>
      </c>
      <c r="L83" s="1">
        <f t="shared" si="7"/>
        <v>63316</v>
      </c>
      <c r="M83" s="1">
        <f t="shared" si="8"/>
        <v>47487</v>
      </c>
      <c r="N83" s="1">
        <f t="shared" si="9"/>
        <v>15829</v>
      </c>
      <c r="O83" s="4">
        <f t="shared" si="10"/>
        <v>0.25</v>
      </c>
      <c r="P83" s="1" t="s">
        <v>28</v>
      </c>
      <c r="Q83" s="1" t="s">
        <v>29</v>
      </c>
      <c r="R83" s="1">
        <f t="shared" si="11"/>
        <v>69647.600000000006</v>
      </c>
      <c r="S83" s="1">
        <v>63316</v>
      </c>
      <c r="T83" s="5">
        <f t="shared" si="12"/>
        <v>0.90909090909090906</v>
      </c>
      <c r="U83" s="4">
        <f t="shared" si="13"/>
        <v>5.1744787730960049E-4</v>
      </c>
    </row>
    <row r="84" spans="1:21" x14ac:dyDescent="0.3">
      <c r="A84" s="3">
        <v>45374</v>
      </c>
      <c r="B84" s="1" t="s">
        <v>75</v>
      </c>
      <c r="C84" s="1" t="s">
        <v>22</v>
      </c>
      <c r="D84" s="1">
        <v>2024</v>
      </c>
      <c r="E84" s="1" t="s">
        <v>23</v>
      </c>
      <c r="F84" s="1" t="s">
        <v>24</v>
      </c>
      <c r="G84" s="1" t="s">
        <v>25</v>
      </c>
      <c r="H84" s="1" t="s">
        <v>36</v>
      </c>
      <c r="I84" s="1" t="s">
        <v>52</v>
      </c>
      <c r="J84" s="1">
        <v>37</v>
      </c>
      <c r="K84" s="1">
        <v>56065</v>
      </c>
      <c r="L84" s="1">
        <f t="shared" si="7"/>
        <v>2074405</v>
      </c>
      <c r="M84" s="1">
        <f t="shared" si="8"/>
        <v>1555803.75</v>
      </c>
      <c r="N84" s="1">
        <f t="shared" si="9"/>
        <v>518601.25</v>
      </c>
      <c r="O84" s="4">
        <f t="shared" si="10"/>
        <v>0.25</v>
      </c>
      <c r="P84" s="1" t="s">
        <v>28</v>
      </c>
      <c r="Q84" s="1" t="s">
        <v>29</v>
      </c>
      <c r="R84" s="1">
        <f t="shared" si="11"/>
        <v>2281845.5</v>
      </c>
      <c r="S84" s="1">
        <v>2074405</v>
      </c>
      <c r="T84" s="5">
        <f t="shared" si="12"/>
        <v>0.90909090909090906</v>
      </c>
      <c r="U84" s="4">
        <f t="shared" si="13"/>
        <v>1.8564048821115204E-7</v>
      </c>
    </row>
    <row r="85" spans="1:21" x14ac:dyDescent="0.3">
      <c r="A85" s="3">
        <v>45375</v>
      </c>
      <c r="B85" s="1" t="s">
        <v>75</v>
      </c>
      <c r="C85" s="1" t="s">
        <v>22</v>
      </c>
      <c r="D85" s="1">
        <v>2024</v>
      </c>
      <c r="E85" s="1" t="s">
        <v>48</v>
      </c>
      <c r="F85" s="1" t="s">
        <v>49</v>
      </c>
      <c r="G85" s="1" t="s">
        <v>40</v>
      </c>
      <c r="H85" s="1" t="s">
        <v>26</v>
      </c>
      <c r="I85" s="1" t="s">
        <v>27</v>
      </c>
      <c r="J85" s="1">
        <v>42</v>
      </c>
      <c r="K85" s="1">
        <v>19020</v>
      </c>
      <c r="L85" s="1">
        <f t="shared" si="7"/>
        <v>798840</v>
      </c>
      <c r="M85" s="1">
        <f t="shared" si="8"/>
        <v>599130</v>
      </c>
      <c r="N85" s="1">
        <f t="shared" si="9"/>
        <v>199710</v>
      </c>
      <c r="O85" s="4">
        <f t="shared" si="10"/>
        <v>0.25</v>
      </c>
      <c r="P85" s="1" t="s">
        <v>38</v>
      </c>
      <c r="Q85" s="1" t="s">
        <v>29</v>
      </c>
      <c r="R85" s="1">
        <f t="shared" si="11"/>
        <v>878724.00000000012</v>
      </c>
      <c r="S85" s="1">
        <v>798840</v>
      </c>
      <c r="T85" s="5">
        <f t="shared" si="12"/>
        <v>0.90909090909090895</v>
      </c>
      <c r="U85" s="4">
        <f t="shared" si="13"/>
        <v>2.2762839375318638E-7</v>
      </c>
    </row>
    <row r="86" spans="1:21" x14ac:dyDescent="0.3">
      <c r="A86" s="3">
        <v>45376</v>
      </c>
      <c r="B86" s="1" t="s">
        <v>75</v>
      </c>
      <c r="C86" s="1" t="s">
        <v>22</v>
      </c>
      <c r="D86" s="1">
        <v>2024</v>
      </c>
      <c r="E86" s="1" t="s">
        <v>50</v>
      </c>
      <c r="F86" s="1" t="s">
        <v>72</v>
      </c>
      <c r="G86" s="1" t="s">
        <v>35</v>
      </c>
      <c r="H86" s="1" t="s">
        <v>36</v>
      </c>
      <c r="I86" s="1" t="s">
        <v>37</v>
      </c>
      <c r="J86" s="1">
        <v>15</v>
      </c>
      <c r="K86" s="1">
        <v>9684</v>
      </c>
      <c r="L86" s="1">
        <f t="shared" si="7"/>
        <v>145260</v>
      </c>
      <c r="M86" s="1">
        <f t="shared" si="8"/>
        <v>108945</v>
      </c>
      <c r="N86" s="1">
        <f t="shared" si="9"/>
        <v>36315</v>
      </c>
      <c r="O86" s="4">
        <f t="shared" si="10"/>
        <v>0.25</v>
      </c>
      <c r="P86" s="1" t="s">
        <v>28</v>
      </c>
      <c r="Q86" s="1" t="s">
        <v>29</v>
      </c>
      <c r="R86" s="1">
        <f t="shared" si="11"/>
        <v>159786</v>
      </c>
      <c r="S86" s="1">
        <v>145260</v>
      </c>
      <c r="T86" s="5">
        <f t="shared" si="12"/>
        <v>0.90909090909090906</v>
      </c>
      <c r="U86" s="4">
        <f t="shared" si="13"/>
        <v>4.4942131993321329E-6</v>
      </c>
    </row>
    <row r="87" spans="1:21" x14ac:dyDescent="0.3">
      <c r="A87" s="3">
        <v>45377</v>
      </c>
      <c r="B87" s="1" t="s">
        <v>75</v>
      </c>
      <c r="C87" s="1" t="s">
        <v>22</v>
      </c>
      <c r="D87" s="1">
        <v>2024</v>
      </c>
      <c r="E87" s="1" t="s">
        <v>30</v>
      </c>
      <c r="F87" s="1" t="s">
        <v>39</v>
      </c>
      <c r="G87" s="1" t="s">
        <v>73</v>
      </c>
      <c r="H87" s="1" t="s">
        <v>33</v>
      </c>
      <c r="I87" s="1" t="s">
        <v>34</v>
      </c>
      <c r="J87" s="1">
        <v>3</v>
      </c>
      <c r="K87" s="1">
        <v>31610</v>
      </c>
      <c r="L87" s="1">
        <f t="shared" si="7"/>
        <v>94830</v>
      </c>
      <c r="M87" s="1">
        <f t="shared" si="8"/>
        <v>71122.5</v>
      </c>
      <c r="N87" s="1">
        <f t="shared" si="9"/>
        <v>23707.5</v>
      </c>
      <c r="O87" s="4">
        <f t="shared" si="10"/>
        <v>0.25</v>
      </c>
      <c r="P87" s="1" t="s">
        <v>38</v>
      </c>
      <c r="Q87" s="1" t="s">
        <v>47</v>
      </c>
      <c r="R87" s="1">
        <f t="shared" si="11"/>
        <v>104313.00000000001</v>
      </c>
      <c r="S87" s="1">
        <v>94830</v>
      </c>
      <c r="T87" s="5">
        <f t="shared" si="12"/>
        <v>0.90909090909090895</v>
      </c>
      <c r="U87" s="4">
        <f t="shared" si="13"/>
        <v>1.3811069073815847E-4</v>
      </c>
    </row>
    <row r="88" spans="1:21" x14ac:dyDescent="0.3">
      <c r="A88" s="3">
        <v>45378</v>
      </c>
      <c r="B88" s="1" t="s">
        <v>75</v>
      </c>
      <c r="C88" s="1" t="s">
        <v>22</v>
      </c>
      <c r="D88" s="1">
        <v>2024</v>
      </c>
      <c r="E88" s="1" t="s">
        <v>61</v>
      </c>
      <c r="F88" s="1" t="s">
        <v>67</v>
      </c>
      <c r="G88" s="1" t="s">
        <v>71</v>
      </c>
      <c r="H88" s="1" t="s">
        <v>36</v>
      </c>
      <c r="I88" s="1" t="s">
        <v>52</v>
      </c>
      <c r="J88" s="1">
        <v>38</v>
      </c>
      <c r="K88" s="1">
        <v>32684</v>
      </c>
      <c r="L88" s="1">
        <f t="shared" si="7"/>
        <v>1241992</v>
      </c>
      <c r="M88" s="1">
        <f t="shared" si="8"/>
        <v>931494</v>
      </c>
      <c r="N88" s="1">
        <f t="shared" si="9"/>
        <v>310498</v>
      </c>
      <c r="O88" s="4">
        <f t="shared" si="10"/>
        <v>0.25</v>
      </c>
      <c r="P88" s="1" t="s">
        <v>28</v>
      </c>
      <c r="Q88" s="1" t="s">
        <v>29</v>
      </c>
      <c r="R88" s="1">
        <f t="shared" si="11"/>
        <v>1366191.2000000002</v>
      </c>
      <c r="S88" s="1">
        <v>1241992</v>
      </c>
      <c r="T88" s="5">
        <f t="shared" si="12"/>
        <v>0.90909090909090895</v>
      </c>
      <c r="U88" s="4">
        <f t="shared" si="13"/>
        <v>9.989996214462035E-7</v>
      </c>
    </row>
    <row r="89" spans="1:21" x14ac:dyDescent="0.3">
      <c r="A89" s="3">
        <v>45379</v>
      </c>
      <c r="B89" s="1" t="s">
        <v>75</v>
      </c>
      <c r="C89" s="1" t="s">
        <v>22</v>
      </c>
      <c r="D89" s="1">
        <v>2024</v>
      </c>
      <c r="E89" s="1" t="s">
        <v>48</v>
      </c>
      <c r="F89" s="1" t="s">
        <v>49</v>
      </c>
      <c r="G89" s="1" t="s">
        <v>32</v>
      </c>
      <c r="H89" s="1" t="s">
        <v>36</v>
      </c>
      <c r="I89" s="1" t="s">
        <v>69</v>
      </c>
      <c r="J89" s="1">
        <v>33</v>
      </c>
      <c r="K89" s="1">
        <v>46697</v>
      </c>
      <c r="L89" s="1">
        <f t="shared" si="7"/>
        <v>1541001</v>
      </c>
      <c r="M89" s="1">
        <f t="shared" si="8"/>
        <v>1155750.75</v>
      </c>
      <c r="N89" s="1">
        <f t="shared" si="9"/>
        <v>385250.25</v>
      </c>
      <c r="O89" s="4">
        <f t="shared" si="10"/>
        <v>0.25</v>
      </c>
      <c r="P89" s="1" t="s">
        <v>28</v>
      </c>
      <c r="Q89" s="1" t="s">
        <v>29</v>
      </c>
      <c r="R89" s="1">
        <f t="shared" si="11"/>
        <v>1695101.1</v>
      </c>
      <c r="S89" s="1">
        <v>1541001</v>
      </c>
      <c r="T89" s="5">
        <f t="shared" si="12"/>
        <v>0.90909090909090906</v>
      </c>
      <c r="U89" s="4">
        <f t="shared" si="13"/>
        <v>4.1300651629145294E-8</v>
      </c>
    </row>
    <row r="90" spans="1:21" x14ac:dyDescent="0.3">
      <c r="A90" s="3">
        <v>45380</v>
      </c>
      <c r="B90" s="1" t="s">
        <v>75</v>
      </c>
      <c r="C90" s="1" t="s">
        <v>22</v>
      </c>
      <c r="D90" s="1">
        <v>2024</v>
      </c>
      <c r="E90" s="1" t="s">
        <v>50</v>
      </c>
      <c r="F90" s="1" t="s">
        <v>51</v>
      </c>
      <c r="G90" s="1" t="s">
        <v>40</v>
      </c>
      <c r="H90" s="1" t="s">
        <v>41</v>
      </c>
      <c r="I90" s="1" t="s">
        <v>42</v>
      </c>
      <c r="J90" s="1">
        <v>2</v>
      </c>
      <c r="K90" s="1">
        <v>49038</v>
      </c>
      <c r="L90" s="1">
        <f t="shared" si="7"/>
        <v>98076</v>
      </c>
      <c r="M90" s="1">
        <f t="shared" si="8"/>
        <v>73557</v>
      </c>
      <c r="N90" s="1">
        <f t="shared" si="9"/>
        <v>24519</v>
      </c>
      <c r="O90" s="4">
        <f t="shared" si="10"/>
        <v>0.25</v>
      </c>
      <c r="P90" s="1" t="s">
        <v>28</v>
      </c>
      <c r="Q90" s="1" t="s">
        <v>47</v>
      </c>
      <c r="R90" s="1">
        <f t="shared" si="11"/>
        <v>107883.6</v>
      </c>
      <c r="S90" s="1">
        <v>98076</v>
      </c>
      <c r="T90" s="5">
        <f t="shared" si="12"/>
        <v>0.90909090909090906</v>
      </c>
      <c r="U90" s="4">
        <f t="shared" si="13"/>
        <v>8.420295984525708E-6</v>
      </c>
    </row>
    <row r="91" spans="1:21" x14ac:dyDescent="0.3">
      <c r="A91" s="3">
        <v>45381</v>
      </c>
      <c r="B91" s="1" t="s">
        <v>75</v>
      </c>
      <c r="C91" s="1" t="s">
        <v>22</v>
      </c>
      <c r="D91" s="1">
        <v>2024</v>
      </c>
      <c r="E91" s="1" t="s">
        <v>50</v>
      </c>
      <c r="F91" s="1" t="s">
        <v>56</v>
      </c>
      <c r="G91" s="1" t="s">
        <v>57</v>
      </c>
      <c r="H91" s="1" t="s">
        <v>41</v>
      </c>
      <c r="I91" s="1" t="s">
        <v>46</v>
      </c>
      <c r="J91" s="1">
        <v>6</v>
      </c>
      <c r="K91" s="1">
        <v>13499</v>
      </c>
      <c r="L91" s="1">
        <f t="shared" si="7"/>
        <v>80994</v>
      </c>
      <c r="M91" s="1">
        <f t="shared" si="8"/>
        <v>60745.5</v>
      </c>
      <c r="N91" s="1">
        <f t="shared" si="9"/>
        <v>20248.5</v>
      </c>
      <c r="O91" s="4">
        <f t="shared" si="10"/>
        <v>0.25</v>
      </c>
      <c r="P91" s="1" t="s">
        <v>38</v>
      </c>
      <c r="Q91" s="1" t="s">
        <v>47</v>
      </c>
      <c r="R91" s="1">
        <f t="shared" si="11"/>
        <v>89093.400000000009</v>
      </c>
      <c r="S91" s="1">
        <v>80994</v>
      </c>
      <c r="T91" s="5">
        <f t="shared" si="12"/>
        <v>0.90909090909090895</v>
      </c>
      <c r="U91" s="4">
        <f t="shared" si="13"/>
        <v>7.3929562090060562E-5</v>
      </c>
    </row>
    <row r="92" spans="1:21" x14ac:dyDescent="0.3">
      <c r="A92" s="3">
        <v>45382</v>
      </c>
      <c r="B92" s="1" t="s">
        <v>75</v>
      </c>
      <c r="C92" s="1" t="s">
        <v>22</v>
      </c>
      <c r="D92" s="1">
        <v>2024</v>
      </c>
      <c r="E92" s="1" t="s">
        <v>48</v>
      </c>
      <c r="F92" s="1" t="s">
        <v>68</v>
      </c>
      <c r="G92" s="1" t="s">
        <v>35</v>
      </c>
      <c r="H92" s="1" t="s">
        <v>36</v>
      </c>
      <c r="I92" s="1" t="s">
        <v>37</v>
      </c>
      <c r="J92" s="1">
        <v>12</v>
      </c>
      <c r="K92" s="1">
        <v>40415</v>
      </c>
      <c r="L92" s="1">
        <f t="shared" si="7"/>
        <v>484980</v>
      </c>
      <c r="M92" s="1">
        <f t="shared" si="8"/>
        <v>363735</v>
      </c>
      <c r="N92" s="1">
        <f t="shared" si="9"/>
        <v>121245</v>
      </c>
      <c r="O92" s="4">
        <f t="shared" si="10"/>
        <v>0.25</v>
      </c>
      <c r="P92" s="1" t="s">
        <v>38</v>
      </c>
      <c r="Q92" s="1" t="s">
        <v>29</v>
      </c>
      <c r="R92" s="1">
        <f t="shared" si="11"/>
        <v>533478</v>
      </c>
      <c r="S92" s="1">
        <v>484980</v>
      </c>
      <c r="T92" s="5">
        <f t="shared" si="12"/>
        <v>0.90909090909090906</v>
      </c>
      <c r="U92" s="4">
        <f t="shared" si="13"/>
        <v>5.5270070006377283E-6</v>
      </c>
    </row>
    <row r="93" spans="1:21" x14ac:dyDescent="0.3">
      <c r="A93" s="3">
        <v>45383</v>
      </c>
      <c r="B93" s="1" t="s">
        <v>76</v>
      </c>
      <c r="C93" s="1" t="s">
        <v>77</v>
      </c>
      <c r="D93" s="1">
        <v>2024</v>
      </c>
      <c r="E93" s="1" t="s">
        <v>48</v>
      </c>
      <c r="F93" s="1" t="s">
        <v>68</v>
      </c>
      <c r="G93" s="1" t="s">
        <v>57</v>
      </c>
      <c r="H93" s="1" t="s">
        <v>26</v>
      </c>
      <c r="I93" s="1" t="s">
        <v>58</v>
      </c>
      <c r="J93" s="1">
        <v>29</v>
      </c>
      <c r="K93" s="1">
        <v>44827</v>
      </c>
      <c r="L93" s="1">
        <f t="shared" si="7"/>
        <v>1299983</v>
      </c>
      <c r="M93" s="1">
        <f t="shared" si="8"/>
        <v>974987.25</v>
      </c>
      <c r="N93" s="1">
        <f t="shared" si="9"/>
        <v>324995.75</v>
      </c>
      <c r="O93" s="4">
        <f t="shared" si="10"/>
        <v>0.25</v>
      </c>
      <c r="P93" s="1" t="s">
        <v>28</v>
      </c>
      <c r="Q93" s="1" t="s">
        <v>29</v>
      </c>
      <c r="R93" s="1">
        <f t="shared" si="11"/>
        <v>1429981.3</v>
      </c>
      <c r="S93" s="1">
        <v>1299983</v>
      </c>
      <c r="T93" s="5">
        <f t="shared" si="12"/>
        <v>0.90909090909090906</v>
      </c>
      <c r="U93" s="4">
        <f t="shared" si="13"/>
        <v>2.0782792067102448E-8</v>
      </c>
    </row>
    <row r="94" spans="1:21" x14ac:dyDescent="0.3">
      <c r="A94" s="3">
        <v>45384</v>
      </c>
      <c r="B94" s="1" t="s">
        <v>76</v>
      </c>
      <c r="C94" s="1" t="s">
        <v>77</v>
      </c>
      <c r="D94" s="1">
        <v>2024</v>
      </c>
      <c r="E94" s="1" t="s">
        <v>48</v>
      </c>
      <c r="F94" s="1" t="s">
        <v>49</v>
      </c>
      <c r="G94" s="1" t="s">
        <v>40</v>
      </c>
      <c r="H94" s="1" t="s">
        <v>33</v>
      </c>
      <c r="I94" s="1" t="s">
        <v>55</v>
      </c>
      <c r="J94" s="1">
        <v>1</v>
      </c>
      <c r="K94" s="1">
        <v>35122</v>
      </c>
      <c r="L94" s="1">
        <f t="shared" si="7"/>
        <v>35122</v>
      </c>
      <c r="M94" s="1">
        <f t="shared" si="8"/>
        <v>26341.5</v>
      </c>
      <c r="N94" s="1">
        <f t="shared" si="9"/>
        <v>8780.5</v>
      </c>
      <c r="O94" s="4">
        <f t="shared" si="10"/>
        <v>0.25</v>
      </c>
      <c r="P94" s="1" t="s">
        <v>28</v>
      </c>
      <c r="Q94" s="1" t="s">
        <v>47</v>
      </c>
      <c r="R94" s="1">
        <f t="shared" si="11"/>
        <v>38634.200000000004</v>
      </c>
      <c r="S94" s="1">
        <v>35122</v>
      </c>
      <c r="T94" s="5">
        <f t="shared" si="12"/>
        <v>0.90909090909090895</v>
      </c>
      <c r="U94" s="4">
        <f t="shared" si="13"/>
        <v>2.8926479447995119E-4</v>
      </c>
    </row>
    <row r="95" spans="1:21" x14ac:dyDescent="0.3">
      <c r="A95" s="3">
        <v>45385</v>
      </c>
      <c r="B95" s="1" t="s">
        <v>76</v>
      </c>
      <c r="C95" s="1" t="s">
        <v>77</v>
      </c>
      <c r="D95" s="1">
        <v>2024</v>
      </c>
      <c r="E95" s="1" t="s">
        <v>50</v>
      </c>
      <c r="F95" s="1" t="s">
        <v>51</v>
      </c>
      <c r="G95" s="1" t="s">
        <v>57</v>
      </c>
      <c r="H95" s="1" t="s">
        <v>41</v>
      </c>
      <c r="I95" s="1" t="s">
        <v>42</v>
      </c>
      <c r="J95" s="1">
        <v>26</v>
      </c>
      <c r="K95" s="1">
        <v>13724</v>
      </c>
      <c r="L95" s="1">
        <f t="shared" si="7"/>
        <v>356824</v>
      </c>
      <c r="M95" s="1">
        <f t="shared" si="8"/>
        <v>267618</v>
      </c>
      <c r="N95" s="1">
        <f t="shared" si="9"/>
        <v>89206</v>
      </c>
      <c r="O95" s="4">
        <f t="shared" si="10"/>
        <v>0.25</v>
      </c>
      <c r="P95" s="1" t="s">
        <v>38</v>
      </c>
      <c r="Q95" s="1" t="s">
        <v>29</v>
      </c>
      <c r="R95" s="1">
        <f t="shared" si="11"/>
        <v>392506.4</v>
      </c>
      <c r="S95" s="1">
        <v>356824</v>
      </c>
      <c r="T95" s="5">
        <f t="shared" si="12"/>
        <v>0.90909090909090906</v>
      </c>
      <c r="U95" s="4">
        <f t="shared" si="13"/>
        <v>1.4324173506531447E-5</v>
      </c>
    </row>
    <row r="96" spans="1:21" x14ac:dyDescent="0.3">
      <c r="A96" s="3">
        <v>45386</v>
      </c>
      <c r="B96" s="1" t="s">
        <v>76</v>
      </c>
      <c r="C96" s="1" t="s">
        <v>77</v>
      </c>
      <c r="D96" s="1">
        <v>2024</v>
      </c>
      <c r="E96" s="1" t="s">
        <v>48</v>
      </c>
      <c r="F96" s="1" t="s">
        <v>65</v>
      </c>
      <c r="G96" s="1" t="s">
        <v>44</v>
      </c>
      <c r="H96" s="1" t="s">
        <v>36</v>
      </c>
      <c r="I96" s="1" t="s">
        <v>52</v>
      </c>
      <c r="J96" s="1">
        <v>43</v>
      </c>
      <c r="K96" s="1">
        <v>42414</v>
      </c>
      <c r="L96" s="1">
        <f t="shared" si="7"/>
        <v>1823802</v>
      </c>
      <c r="M96" s="1">
        <f t="shared" si="8"/>
        <v>1367851.5</v>
      </c>
      <c r="N96" s="1">
        <f t="shared" si="9"/>
        <v>455950.5</v>
      </c>
      <c r="O96" s="4">
        <f t="shared" si="10"/>
        <v>0.25</v>
      </c>
      <c r="P96" s="1" t="s">
        <v>28</v>
      </c>
      <c r="Q96" s="1" t="s">
        <v>47</v>
      </c>
      <c r="R96" s="1">
        <f t="shared" si="11"/>
        <v>2006182.2000000002</v>
      </c>
      <c r="S96" s="1">
        <v>1823802</v>
      </c>
      <c r="T96" s="5">
        <f t="shared" si="12"/>
        <v>0.90909090909090906</v>
      </c>
      <c r="U96" s="4">
        <f t="shared" si="13"/>
        <v>1.2961548766921067E-7</v>
      </c>
    </row>
    <row r="97" spans="1:21" x14ac:dyDescent="0.3">
      <c r="A97" s="3">
        <v>45387</v>
      </c>
      <c r="B97" s="1" t="s">
        <v>76</v>
      </c>
      <c r="C97" s="1" t="s">
        <v>77</v>
      </c>
      <c r="D97" s="1">
        <v>2024</v>
      </c>
      <c r="E97" s="1" t="s">
        <v>50</v>
      </c>
      <c r="F97" s="1" t="s">
        <v>51</v>
      </c>
      <c r="G97" s="1" t="s">
        <v>35</v>
      </c>
      <c r="H97" s="1" t="s">
        <v>26</v>
      </c>
      <c r="I97" s="1" t="s">
        <v>58</v>
      </c>
      <c r="J97" s="1">
        <v>22</v>
      </c>
      <c r="K97" s="1">
        <v>19597</v>
      </c>
      <c r="L97" s="1">
        <f t="shared" si="7"/>
        <v>431134</v>
      </c>
      <c r="M97" s="1">
        <f t="shared" si="8"/>
        <v>323350.5</v>
      </c>
      <c r="N97" s="1">
        <f t="shared" si="9"/>
        <v>107783.5</v>
      </c>
      <c r="O97" s="4">
        <f t="shared" si="10"/>
        <v>0.25</v>
      </c>
      <c r="P97" s="1" t="s">
        <v>28</v>
      </c>
      <c r="Q97" s="1" t="s">
        <v>29</v>
      </c>
      <c r="R97" s="1">
        <f t="shared" si="11"/>
        <v>474247.4</v>
      </c>
      <c r="S97" s="1">
        <v>431134</v>
      </c>
      <c r="T97" s="5">
        <f t="shared" si="12"/>
        <v>0.90909090909090906</v>
      </c>
      <c r="U97" s="4">
        <f t="shared" si="13"/>
        <v>1.212762067940529E-5</v>
      </c>
    </row>
    <row r="98" spans="1:21" x14ac:dyDescent="0.3">
      <c r="A98" s="3">
        <v>45388</v>
      </c>
      <c r="B98" s="1" t="s">
        <v>76</v>
      </c>
      <c r="C98" s="1" t="s">
        <v>77</v>
      </c>
      <c r="D98" s="1">
        <v>2024</v>
      </c>
      <c r="E98" s="1" t="s">
        <v>61</v>
      </c>
      <c r="F98" s="1" t="s">
        <v>67</v>
      </c>
      <c r="G98" s="1" t="s">
        <v>59</v>
      </c>
      <c r="H98" s="1" t="s">
        <v>41</v>
      </c>
      <c r="I98" s="1" t="s">
        <v>60</v>
      </c>
      <c r="J98" s="1">
        <v>40</v>
      </c>
      <c r="K98" s="1">
        <v>56356</v>
      </c>
      <c r="L98" s="1">
        <f t="shared" si="7"/>
        <v>2254240</v>
      </c>
      <c r="M98" s="1">
        <f t="shared" si="8"/>
        <v>1690680</v>
      </c>
      <c r="N98" s="1">
        <f t="shared" si="9"/>
        <v>563560</v>
      </c>
      <c r="O98" s="4">
        <f t="shared" si="10"/>
        <v>0.25</v>
      </c>
      <c r="P98" s="1" t="s">
        <v>38</v>
      </c>
      <c r="Q98" s="1" t="s">
        <v>29</v>
      </c>
      <c r="R98" s="1">
        <f t="shared" si="11"/>
        <v>2479664</v>
      </c>
      <c r="S98" s="1">
        <v>2254240</v>
      </c>
      <c r="T98" s="5">
        <f t="shared" si="12"/>
        <v>0.90909090909090906</v>
      </c>
      <c r="U98" s="4">
        <f t="shared" si="13"/>
        <v>4.6113447193764879E-8</v>
      </c>
    </row>
    <row r="99" spans="1:21" x14ac:dyDescent="0.3">
      <c r="A99" s="3">
        <v>45389</v>
      </c>
      <c r="B99" s="1" t="s">
        <v>76</v>
      </c>
      <c r="C99" s="1" t="s">
        <v>77</v>
      </c>
      <c r="D99" s="1">
        <v>2024</v>
      </c>
      <c r="E99" s="1" t="s">
        <v>30</v>
      </c>
      <c r="F99" s="1" t="s">
        <v>31</v>
      </c>
      <c r="G99" s="1" t="s">
        <v>35</v>
      </c>
      <c r="H99" s="1" t="s">
        <v>26</v>
      </c>
      <c r="I99" s="1" t="s">
        <v>27</v>
      </c>
      <c r="J99" s="1">
        <v>30</v>
      </c>
      <c r="K99" s="1">
        <v>7811</v>
      </c>
      <c r="L99" s="1">
        <f t="shared" si="7"/>
        <v>234330</v>
      </c>
      <c r="M99" s="1">
        <f t="shared" si="8"/>
        <v>175747.5</v>
      </c>
      <c r="N99" s="1">
        <f t="shared" si="9"/>
        <v>58582.5</v>
      </c>
      <c r="O99" s="4">
        <f t="shared" si="10"/>
        <v>0.25</v>
      </c>
      <c r="P99" s="1" t="s">
        <v>38</v>
      </c>
      <c r="Q99" s="1" t="s">
        <v>29</v>
      </c>
      <c r="R99" s="1">
        <f t="shared" si="11"/>
        <v>257763.00000000003</v>
      </c>
      <c r="S99" s="1">
        <v>234330</v>
      </c>
      <c r="T99" s="5">
        <f t="shared" si="12"/>
        <v>0.90909090909090895</v>
      </c>
      <c r="U99" s="4">
        <f t="shared" si="13"/>
        <v>1.800812448261649E-5</v>
      </c>
    </row>
    <row r="100" spans="1:21" x14ac:dyDescent="0.3">
      <c r="A100" s="3">
        <v>45390</v>
      </c>
      <c r="B100" s="1" t="s">
        <v>76</v>
      </c>
      <c r="C100" s="1" t="s">
        <v>77</v>
      </c>
      <c r="D100" s="1">
        <v>2024</v>
      </c>
      <c r="E100" s="1" t="s">
        <v>48</v>
      </c>
      <c r="F100" s="1" t="s">
        <v>49</v>
      </c>
      <c r="G100" s="1" t="s">
        <v>35</v>
      </c>
      <c r="H100" s="1" t="s">
        <v>33</v>
      </c>
      <c r="I100" s="1" t="s">
        <v>34</v>
      </c>
      <c r="J100" s="1">
        <v>38</v>
      </c>
      <c r="K100" s="1">
        <v>26022</v>
      </c>
      <c r="L100" s="1">
        <f t="shared" si="7"/>
        <v>988836</v>
      </c>
      <c r="M100" s="1">
        <f t="shared" si="8"/>
        <v>741627</v>
      </c>
      <c r="N100" s="1">
        <f t="shared" si="9"/>
        <v>247209</v>
      </c>
      <c r="O100" s="4">
        <f t="shared" si="10"/>
        <v>0.25</v>
      </c>
      <c r="P100" s="1" t="s">
        <v>28</v>
      </c>
      <c r="Q100" s="1" t="s">
        <v>47</v>
      </c>
      <c r="R100" s="1">
        <f t="shared" si="11"/>
        <v>1087719.6000000001</v>
      </c>
      <c r="S100" s="1">
        <v>988836</v>
      </c>
      <c r="T100" s="5">
        <f t="shared" si="12"/>
        <v>0.90909090909090906</v>
      </c>
      <c r="U100" s="4">
        <f t="shared" si="13"/>
        <v>1.6095064595588311E-6</v>
      </c>
    </row>
    <row r="101" spans="1:21" x14ac:dyDescent="0.3">
      <c r="A101" s="3">
        <v>45391</v>
      </c>
      <c r="B101" s="1" t="s">
        <v>76</v>
      </c>
      <c r="C101" s="1" t="s">
        <v>77</v>
      </c>
      <c r="D101" s="1">
        <v>2024</v>
      </c>
      <c r="E101" s="1" t="s">
        <v>48</v>
      </c>
      <c r="F101" s="1" t="s">
        <v>49</v>
      </c>
      <c r="G101" s="1" t="s">
        <v>73</v>
      </c>
      <c r="H101" s="1" t="s">
        <v>33</v>
      </c>
      <c r="I101" s="1" t="s">
        <v>34</v>
      </c>
      <c r="J101" s="1">
        <v>33</v>
      </c>
      <c r="K101" s="1">
        <v>47690</v>
      </c>
      <c r="L101" s="1">
        <f t="shared" si="7"/>
        <v>1573770</v>
      </c>
      <c r="M101" s="1">
        <f t="shared" si="8"/>
        <v>1180327.5</v>
      </c>
      <c r="N101" s="1">
        <f t="shared" si="9"/>
        <v>393442.5</v>
      </c>
      <c r="O101" s="4">
        <f t="shared" si="10"/>
        <v>0.25</v>
      </c>
      <c r="P101" s="1" t="s">
        <v>38</v>
      </c>
      <c r="Q101" s="1" t="s">
        <v>47</v>
      </c>
      <c r="R101" s="1">
        <f t="shared" si="11"/>
        <v>1731147.0000000002</v>
      </c>
      <c r="S101" s="1">
        <v>1573770</v>
      </c>
      <c r="T101" s="5">
        <f t="shared" si="12"/>
        <v>0.90909090909090895</v>
      </c>
      <c r="U101" s="4">
        <f t="shared" si="13"/>
        <v>1.8370187957060123E-7</v>
      </c>
    </row>
    <row r="102" spans="1:21" x14ac:dyDescent="0.3">
      <c r="A102" s="3">
        <v>45392</v>
      </c>
      <c r="B102" s="1" t="s">
        <v>76</v>
      </c>
      <c r="C102" s="1" t="s">
        <v>77</v>
      </c>
      <c r="D102" s="1">
        <v>2024</v>
      </c>
      <c r="E102" s="1" t="s">
        <v>61</v>
      </c>
      <c r="F102" s="1" t="s">
        <v>66</v>
      </c>
      <c r="G102" s="1" t="s">
        <v>73</v>
      </c>
      <c r="H102" s="1" t="s">
        <v>41</v>
      </c>
      <c r="I102" s="1" t="s">
        <v>60</v>
      </c>
      <c r="J102" s="1">
        <v>8</v>
      </c>
      <c r="K102" s="1">
        <v>56873</v>
      </c>
      <c r="L102" s="1">
        <f t="shared" si="7"/>
        <v>454984</v>
      </c>
      <c r="M102" s="1">
        <f t="shared" si="8"/>
        <v>341238</v>
      </c>
      <c r="N102" s="1">
        <f t="shared" si="9"/>
        <v>113746</v>
      </c>
      <c r="O102" s="4">
        <f t="shared" si="10"/>
        <v>0.25</v>
      </c>
      <c r="P102" s="1" t="s">
        <v>28</v>
      </c>
      <c r="Q102" s="1" t="s">
        <v>29</v>
      </c>
      <c r="R102" s="1">
        <f t="shared" si="11"/>
        <v>500482.4</v>
      </c>
      <c r="S102" s="1">
        <v>454984</v>
      </c>
      <c r="T102" s="5">
        <f t="shared" si="12"/>
        <v>0.90909090909090906</v>
      </c>
      <c r="U102" s="4">
        <f t="shared" si="13"/>
        <v>2.6328382246131809E-6</v>
      </c>
    </row>
    <row r="103" spans="1:21" x14ac:dyDescent="0.3">
      <c r="A103" s="3">
        <v>45393</v>
      </c>
      <c r="B103" s="1" t="s">
        <v>76</v>
      </c>
      <c r="C103" s="1" t="s">
        <v>77</v>
      </c>
      <c r="D103" s="1">
        <v>2024</v>
      </c>
      <c r="E103" s="1" t="s">
        <v>48</v>
      </c>
      <c r="F103" s="1" t="s">
        <v>65</v>
      </c>
      <c r="G103" s="1" t="s">
        <v>25</v>
      </c>
      <c r="H103" s="1" t="s">
        <v>33</v>
      </c>
      <c r="I103" s="1" t="s">
        <v>34</v>
      </c>
      <c r="J103" s="1">
        <v>43</v>
      </c>
      <c r="K103" s="1">
        <v>12675</v>
      </c>
      <c r="L103" s="1">
        <f t="shared" si="7"/>
        <v>545025</v>
      </c>
      <c r="M103" s="1">
        <f t="shared" si="8"/>
        <v>408768.75</v>
      </c>
      <c r="N103" s="1">
        <f t="shared" si="9"/>
        <v>136256.25</v>
      </c>
      <c r="O103" s="4">
        <f t="shared" si="10"/>
        <v>0.25</v>
      </c>
      <c r="P103" s="1" t="s">
        <v>28</v>
      </c>
      <c r="Q103" s="1" t="s">
        <v>47</v>
      </c>
      <c r="R103" s="1">
        <f t="shared" si="11"/>
        <v>599527.5</v>
      </c>
      <c r="S103" s="1">
        <v>545025</v>
      </c>
      <c r="T103" s="5">
        <f t="shared" si="12"/>
        <v>0.90909090909090906</v>
      </c>
      <c r="U103" s="4">
        <f t="shared" si="13"/>
        <v>4.1728753018768684E-6</v>
      </c>
    </row>
    <row r="104" spans="1:21" x14ac:dyDescent="0.3">
      <c r="A104" s="3">
        <v>45394</v>
      </c>
      <c r="B104" s="1" t="s">
        <v>76</v>
      </c>
      <c r="C104" s="1" t="s">
        <v>77</v>
      </c>
      <c r="D104" s="1">
        <v>2024</v>
      </c>
      <c r="E104" s="1" t="s">
        <v>48</v>
      </c>
      <c r="F104" s="1" t="s">
        <v>65</v>
      </c>
      <c r="G104" s="1" t="s">
        <v>57</v>
      </c>
      <c r="H104" s="1" t="s">
        <v>36</v>
      </c>
      <c r="I104" s="1" t="s">
        <v>52</v>
      </c>
      <c r="J104" s="1">
        <v>23</v>
      </c>
      <c r="K104" s="1">
        <v>53894</v>
      </c>
      <c r="L104" s="1">
        <f t="shared" si="7"/>
        <v>1239562</v>
      </c>
      <c r="M104" s="1">
        <f t="shared" si="8"/>
        <v>929671.5</v>
      </c>
      <c r="N104" s="1">
        <f t="shared" si="9"/>
        <v>309890.5</v>
      </c>
      <c r="O104" s="4">
        <f t="shared" si="10"/>
        <v>0.25</v>
      </c>
      <c r="P104" s="1" t="s">
        <v>28</v>
      </c>
      <c r="Q104" s="1" t="s">
        <v>47</v>
      </c>
      <c r="R104" s="1">
        <f t="shared" si="11"/>
        <v>1363518.2000000002</v>
      </c>
      <c r="S104" s="1">
        <v>1239562</v>
      </c>
      <c r="T104" s="5">
        <f t="shared" si="12"/>
        <v>0.90909090909090895</v>
      </c>
      <c r="U104" s="4">
        <f t="shared" si="13"/>
        <v>4.334721459578531E-7</v>
      </c>
    </row>
    <row r="105" spans="1:21" x14ac:dyDescent="0.3">
      <c r="A105" s="3">
        <v>45395</v>
      </c>
      <c r="B105" s="1" t="s">
        <v>76</v>
      </c>
      <c r="C105" s="1" t="s">
        <v>77</v>
      </c>
      <c r="D105" s="1">
        <v>2024</v>
      </c>
      <c r="E105" s="1" t="s">
        <v>61</v>
      </c>
      <c r="F105" s="1" t="s">
        <v>66</v>
      </c>
      <c r="G105" s="1" t="s">
        <v>32</v>
      </c>
      <c r="H105" s="1" t="s">
        <v>41</v>
      </c>
      <c r="I105" s="1" t="s">
        <v>60</v>
      </c>
      <c r="J105" s="1">
        <v>42</v>
      </c>
      <c r="K105" s="1">
        <v>15858</v>
      </c>
      <c r="L105" s="1">
        <f t="shared" si="7"/>
        <v>666036</v>
      </c>
      <c r="M105" s="1">
        <f t="shared" si="8"/>
        <v>499527</v>
      </c>
      <c r="N105" s="1">
        <f t="shared" si="9"/>
        <v>166509</v>
      </c>
      <c r="O105" s="4">
        <f t="shared" si="10"/>
        <v>0.25</v>
      </c>
      <c r="P105" s="1" t="s">
        <v>28</v>
      </c>
      <c r="Q105" s="1" t="s">
        <v>29</v>
      </c>
      <c r="R105" s="1">
        <f t="shared" si="11"/>
        <v>732639.60000000009</v>
      </c>
      <c r="S105" s="1">
        <v>666036</v>
      </c>
      <c r="T105" s="5">
        <f t="shared" si="12"/>
        <v>0.90909090909090895</v>
      </c>
      <c r="U105" s="4">
        <f t="shared" si="13"/>
        <v>9.0612808342532087E-7</v>
      </c>
    </row>
    <row r="106" spans="1:21" x14ac:dyDescent="0.3">
      <c r="A106" s="3">
        <v>45396</v>
      </c>
      <c r="B106" s="1" t="s">
        <v>76</v>
      </c>
      <c r="C106" s="1" t="s">
        <v>77</v>
      </c>
      <c r="D106" s="1">
        <v>2024</v>
      </c>
      <c r="E106" s="1" t="s">
        <v>61</v>
      </c>
      <c r="F106" s="1" t="s">
        <v>67</v>
      </c>
      <c r="G106" s="1" t="s">
        <v>32</v>
      </c>
      <c r="H106" s="1" t="s">
        <v>41</v>
      </c>
      <c r="I106" s="1" t="s">
        <v>60</v>
      </c>
      <c r="J106" s="1">
        <v>22</v>
      </c>
      <c r="K106" s="1">
        <v>18271</v>
      </c>
      <c r="L106" s="1">
        <f t="shared" si="7"/>
        <v>401962</v>
      </c>
      <c r="M106" s="1">
        <f t="shared" si="8"/>
        <v>301471.5</v>
      </c>
      <c r="N106" s="1">
        <f t="shared" si="9"/>
        <v>100490.5</v>
      </c>
      <c r="O106" s="4">
        <f t="shared" si="10"/>
        <v>0.25</v>
      </c>
      <c r="P106" s="1" t="s">
        <v>38</v>
      </c>
      <c r="Q106" s="1" t="s">
        <v>47</v>
      </c>
      <c r="R106" s="1">
        <f t="shared" si="11"/>
        <v>442158.2</v>
      </c>
      <c r="S106" s="1">
        <v>401962</v>
      </c>
      <c r="T106" s="5">
        <f t="shared" si="12"/>
        <v>0.90909090909090906</v>
      </c>
      <c r="U106" s="4">
        <f t="shared" si="13"/>
        <v>9.234437991726658E-6</v>
      </c>
    </row>
    <row r="107" spans="1:21" x14ac:dyDescent="0.3">
      <c r="A107" s="3">
        <v>45397</v>
      </c>
      <c r="B107" s="1" t="s">
        <v>76</v>
      </c>
      <c r="C107" s="1" t="s">
        <v>77</v>
      </c>
      <c r="D107" s="1">
        <v>2024</v>
      </c>
      <c r="E107" s="1" t="s">
        <v>61</v>
      </c>
      <c r="F107" s="1" t="s">
        <v>67</v>
      </c>
      <c r="G107" s="1" t="s">
        <v>73</v>
      </c>
      <c r="H107" s="1" t="s">
        <v>26</v>
      </c>
      <c r="I107" s="1" t="s">
        <v>64</v>
      </c>
      <c r="J107" s="1">
        <v>40</v>
      </c>
      <c r="K107" s="1">
        <v>37301</v>
      </c>
      <c r="L107" s="1">
        <f t="shared" si="7"/>
        <v>1492040</v>
      </c>
      <c r="M107" s="1">
        <f t="shared" si="8"/>
        <v>1119030</v>
      </c>
      <c r="N107" s="1">
        <f t="shared" si="9"/>
        <v>373010</v>
      </c>
      <c r="O107" s="4">
        <f t="shared" si="10"/>
        <v>0.25</v>
      </c>
      <c r="P107" s="1" t="s">
        <v>28</v>
      </c>
      <c r="Q107" s="1" t="s">
        <v>29</v>
      </c>
      <c r="R107" s="1">
        <f t="shared" si="11"/>
        <v>1641244.0000000002</v>
      </c>
      <c r="S107" s="1">
        <v>1492040</v>
      </c>
      <c r="T107" s="5">
        <f t="shared" si="12"/>
        <v>0.90909090909090895</v>
      </c>
      <c r="U107" s="4">
        <f t="shared" si="13"/>
        <v>1.4503028167812355E-7</v>
      </c>
    </row>
    <row r="108" spans="1:21" x14ac:dyDescent="0.3">
      <c r="A108" s="3">
        <v>45398</v>
      </c>
      <c r="B108" s="1" t="s">
        <v>76</v>
      </c>
      <c r="C108" s="1" t="s">
        <v>77</v>
      </c>
      <c r="D108" s="1">
        <v>2024</v>
      </c>
      <c r="E108" s="1" t="s">
        <v>23</v>
      </c>
      <c r="F108" s="1" t="s">
        <v>43</v>
      </c>
      <c r="G108" s="1" t="s">
        <v>57</v>
      </c>
      <c r="H108" s="1" t="s">
        <v>26</v>
      </c>
      <c r="I108" s="1" t="s">
        <v>27</v>
      </c>
      <c r="J108" s="1">
        <v>34</v>
      </c>
      <c r="K108" s="1">
        <v>9496</v>
      </c>
      <c r="L108" s="1">
        <f t="shared" si="7"/>
        <v>322864</v>
      </c>
      <c r="M108" s="1">
        <f t="shared" si="8"/>
        <v>242148</v>
      </c>
      <c r="N108" s="1">
        <f t="shared" si="9"/>
        <v>80716</v>
      </c>
      <c r="O108" s="4">
        <f t="shared" si="10"/>
        <v>0.25</v>
      </c>
      <c r="P108" s="1" t="s">
        <v>38</v>
      </c>
      <c r="Q108" s="1" t="s">
        <v>47</v>
      </c>
      <c r="R108" s="1">
        <f t="shared" si="11"/>
        <v>355150.4</v>
      </c>
      <c r="S108" s="1">
        <v>322864</v>
      </c>
      <c r="T108" s="5">
        <f t="shared" si="12"/>
        <v>0.90909090909090906</v>
      </c>
      <c r="U108" s="4">
        <f t="shared" si="13"/>
        <v>2.4427970093845717E-7</v>
      </c>
    </row>
    <row r="109" spans="1:21" x14ac:dyDescent="0.3">
      <c r="A109" s="3">
        <v>45399</v>
      </c>
      <c r="B109" s="1" t="s">
        <v>76</v>
      </c>
      <c r="C109" s="1" t="s">
        <v>77</v>
      </c>
      <c r="D109" s="1">
        <v>2024</v>
      </c>
      <c r="E109" s="1" t="s">
        <v>48</v>
      </c>
      <c r="F109" s="1" t="s">
        <v>68</v>
      </c>
      <c r="G109" s="1" t="s">
        <v>32</v>
      </c>
      <c r="H109" s="1" t="s">
        <v>26</v>
      </c>
      <c r="I109" s="1" t="s">
        <v>78</v>
      </c>
      <c r="J109" s="1">
        <v>12</v>
      </c>
      <c r="K109" s="1">
        <v>2122</v>
      </c>
      <c r="L109" s="1">
        <f t="shared" si="7"/>
        <v>25464</v>
      </c>
      <c r="M109" s="1">
        <f t="shared" si="8"/>
        <v>19098</v>
      </c>
      <c r="N109" s="1">
        <f t="shared" si="9"/>
        <v>6366</v>
      </c>
      <c r="O109" s="4">
        <f t="shared" si="10"/>
        <v>0.25</v>
      </c>
      <c r="P109" s="1" t="s">
        <v>38</v>
      </c>
      <c r="Q109" s="1" t="s">
        <v>29</v>
      </c>
      <c r="R109" s="1">
        <f t="shared" si="11"/>
        <v>28010.400000000001</v>
      </c>
      <c r="S109" s="1">
        <v>25464</v>
      </c>
      <c r="T109" s="5">
        <f t="shared" si="12"/>
        <v>0.90909090909090906</v>
      </c>
      <c r="U109" s="4">
        <f t="shared" si="13"/>
        <v>8.4418119587357794E-4</v>
      </c>
    </row>
    <row r="110" spans="1:21" x14ac:dyDescent="0.3">
      <c r="A110" s="3">
        <v>45400</v>
      </c>
      <c r="B110" s="1" t="s">
        <v>76</v>
      </c>
      <c r="C110" s="1" t="s">
        <v>77</v>
      </c>
      <c r="D110" s="1">
        <v>2024</v>
      </c>
      <c r="E110" s="1" t="s">
        <v>30</v>
      </c>
      <c r="F110" s="1" t="s">
        <v>31</v>
      </c>
      <c r="G110" s="1" t="s">
        <v>53</v>
      </c>
      <c r="H110" s="1" t="s">
        <v>26</v>
      </c>
      <c r="I110" s="1" t="s">
        <v>78</v>
      </c>
      <c r="J110" s="1">
        <v>45</v>
      </c>
      <c r="K110" s="1">
        <v>12164</v>
      </c>
      <c r="L110" s="1">
        <f t="shared" si="7"/>
        <v>547380</v>
      </c>
      <c r="M110" s="1">
        <f t="shared" si="8"/>
        <v>410535</v>
      </c>
      <c r="N110" s="1">
        <f t="shared" si="9"/>
        <v>136845</v>
      </c>
      <c r="O110" s="4">
        <f t="shared" si="10"/>
        <v>0.25</v>
      </c>
      <c r="P110" s="1" t="s">
        <v>38</v>
      </c>
      <c r="Q110" s="1" t="s">
        <v>47</v>
      </c>
      <c r="R110" s="1">
        <f t="shared" si="11"/>
        <v>602118</v>
      </c>
      <c r="S110" s="1">
        <v>547380</v>
      </c>
      <c r="T110" s="5">
        <f t="shared" si="12"/>
        <v>0.90909090909090906</v>
      </c>
      <c r="U110" s="4">
        <f t="shared" si="13"/>
        <v>2.6882415169813925E-6</v>
      </c>
    </row>
    <row r="111" spans="1:21" x14ac:dyDescent="0.3">
      <c r="A111" s="3">
        <v>45401</v>
      </c>
      <c r="B111" s="1" t="s">
        <v>76</v>
      </c>
      <c r="C111" s="1" t="s">
        <v>77</v>
      </c>
      <c r="D111" s="1">
        <v>2024</v>
      </c>
      <c r="E111" s="1" t="s">
        <v>23</v>
      </c>
      <c r="F111" s="1" t="s">
        <v>43</v>
      </c>
      <c r="G111" s="1" t="s">
        <v>35</v>
      </c>
      <c r="H111" s="1" t="s">
        <v>36</v>
      </c>
      <c r="I111" s="1" t="s">
        <v>52</v>
      </c>
      <c r="J111" s="1">
        <v>36</v>
      </c>
      <c r="K111" s="1">
        <v>22374</v>
      </c>
      <c r="L111" s="1">
        <f t="shared" si="7"/>
        <v>805464</v>
      </c>
      <c r="M111" s="1">
        <f t="shared" si="8"/>
        <v>604098</v>
      </c>
      <c r="N111" s="1">
        <f t="shared" si="9"/>
        <v>201366</v>
      </c>
      <c r="O111" s="4">
        <f t="shared" si="10"/>
        <v>0.25</v>
      </c>
      <c r="P111" s="1" t="s">
        <v>28</v>
      </c>
      <c r="Q111" s="1" t="s">
        <v>29</v>
      </c>
      <c r="R111" s="1">
        <f t="shared" si="11"/>
        <v>886010.4</v>
      </c>
      <c r="S111" s="1">
        <v>805464</v>
      </c>
      <c r="T111" s="5">
        <f t="shared" si="12"/>
        <v>0.90909090909090906</v>
      </c>
      <c r="U111" s="4">
        <f t="shared" si="13"/>
        <v>2.8195841993357173E-6</v>
      </c>
    </row>
    <row r="112" spans="1:21" x14ac:dyDescent="0.3">
      <c r="A112" s="3">
        <v>45402</v>
      </c>
      <c r="B112" s="1" t="s">
        <v>76</v>
      </c>
      <c r="C112" s="1" t="s">
        <v>77</v>
      </c>
      <c r="D112" s="1">
        <v>2024</v>
      </c>
      <c r="E112" s="1" t="s">
        <v>61</v>
      </c>
      <c r="F112" s="1" t="s">
        <v>66</v>
      </c>
      <c r="G112" s="1" t="s">
        <v>71</v>
      </c>
      <c r="H112" s="1" t="s">
        <v>41</v>
      </c>
      <c r="I112" s="1" t="s">
        <v>60</v>
      </c>
      <c r="J112" s="1">
        <v>34</v>
      </c>
      <c r="K112" s="1">
        <v>53802</v>
      </c>
      <c r="L112" s="1">
        <f t="shared" si="7"/>
        <v>1829268</v>
      </c>
      <c r="M112" s="1">
        <f t="shared" si="8"/>
        <v>1371951</v>
      </c>
      <c r="N112" s="1">
        <f t="shared" si="9"/>
        <v>457317</v>
      </c>
      <c r="O112" s="4">
        <f t="shared" si="10"/>
        <v>0.25</v>
      </c>
      <c r="P112" s="1" t="s">
        <v>38</v>
      </c>
      <c r="Q112" s="1" t="s">
        <v>47</v>
      </c>
      <c r="R112" s="1">
        <f t="shared" si="11"/>
        <v>2012194.8</v>
      </c>
      <c r="S112" s="1">
        <v>1829268</v>
      </c>
      <c r="T112" s="5">
        <f t="shared" si="12"/>
        <v>0.90909090909090906</v>
      </c>
      <c r="U112" s="4">
        <f t="shared" si="13"/>
        <v>1.6206817559514538E-7</v>
      </c>
    </row>
    <row r="113" spans="1:21" x14ac:dyDescent="0.3">
      <c r="A113" s="3">
        <v>45403</v>
      </c>
      <c r="B113" s="1" t="s">
        <v>76</v>
      </c>
      <c r="C113" s="1" t="s">
        <v>77</v>
      </c>
      <c r="D113" s="1">
        <v>2024</v>
      </c>
      <c r="E113" s="1" t="s">
        <v>23</v>
      </c>
      <c r="F113" s="1" t="s">
        <v>63</v>
      </c>
      <c r="G113" s="1" t="s">
        <v>40</v>
      </c>
      <c r="H113" s="1" t="s">
        <v>36</v>
      </c>
      <c r="I113" s="1" t="s">
        <v>37</v>
      </c>
      <c r="J113" s="1">
        <v>43</v>
      </c>
      <c r="K113" s="1">
        <v>12612</v>
      </c>
      <c r="L113" s="1">
        <f t="shared" si="7"/>
        <v>542316</v>
      </c>
      <c r="M113" s="1">
        <f t="shared" si="8"/>
        <v>406737</v>
      </c>
      <c r="N113" s="1">
        <f t="shared" si="9"/>
        <v>135579</v>
      </c>
      <c r="O113" s="4">
        <f t="shared" si="10"/>
        <v>0.25</v>
      </c>
      <c r="P113" s="1" t="s">
        <v>28</v>
      </c>
      <c r="Q113" s="1" t="s">
        <v>29</v>
      </c>
      <c r="R113" s="1">
        <f t="shared" si="11"/>
        <v>596547.60000000009</v>
      </c>
      <c r="S113" s="1">
        <v>542316</v>
      </c>
      <c r="T113" s="5">
        <f t="shared" si="12"/>
        <v>0.90909090909090895</v>
      </c>
      <c r="U113" s="4">
        <f t="shared" si="13"/>
        <v>1.1733158947914058E-7</v>
      </c>
    </row>
    <row r="114" spans="1:21" x14ac:dyDescent="0.3">
      <c r="A114" s="3">
        <v>45404</v>
      </c>
      <c r="B114" s="1" t="s">
        <v>76</v>
      </c>
      <c r="C114" s="1" t="s">
        <v>77</v>
      </c>
      <c r="D114" s="1">
        <v>2024</v>
      </c>
      <c r="E114" s="1" t="s">
        <v>50</v>
      </c>
      <c r="F114" s="1" t="s">
        <v>51</v>
      </c>
      <c r="G114" s="1" t="s">
        <v>53</v>
      </c>
      <c r="H114" s="1" t="s">
        <v>41</v>
      </c>
      <c r="I114" s="1" t="s">
        <v>42</v>
      </c>
      <c r="J114" s="1">
        <v>1</v>
      </c>
      <c r="K114" s="1">
        <v>34508</v>
      </c>
      <c r="L114" s="1">
        <f t="shared" si="7"/>
        <v>34508</v>
      </c>
      <c r="M114" s="1">
        <f t="shared" si="8"/>
        <v>25881</v>
      </c>
      <c r="N114" s="1">
        <f t="shared" si="9"/>
        <v>8627</v>
      </c>
      <c r="O114" s="4">
        <f t="shared" si="10"/>
        <v>0.25</v>
      </c>
      <c r="P114" s="1" t="s">
        <v>38</v>
      </c>
      <c r="Q114" s="1" t="s">
        <v>47</v>
      </c>
      <c r="R114" s="1">
        <f t="shared" si="11"/>
        <v>37958.800000000003</v>
      </c>
      <c r="S114" s="1">
        <v>34508</v>
      </c>
      <c r="T114" s="5">
        <f t="shared" si="12"/>
        <v>0.90909090909090906</v>
      </c>
      <c r="U114" s="4">
        <f t="shared" si="13"/>
        <v>6.7243249252547477E-4</v>
      </c>
    </row>
    <row r="115" spans="1:21" x14ac:dyDescent="0.3">
      <c r="A115" s="3">
        <v>45405</v>
      </c>
      <c r="B115" s="1" t="s">
        <v>76</v>
      </c>
      <c r="C115" s="1" t="s">
        <v>77</v>
      </c>
      <c r="D115" s="1">
        <v>2024</v>
      </c>
      <c r="E115" s="1" t="s">
        <v>48</v>
      </c>
      <c r="F115" s="1" t="s">
        <v>68</v>
      </c>
      <c r="G115" s="1" t="s">
        <v>73</v>
      </c>
      <c r="H115" s="1" t="s">
        <v>33</v>
      </c>
      <c r="I115" s="1" t="s">
        <v>34</v>
      </c>
      <c r="J115" s="1">
        <v>34</v>
      </c>
      <c r="K115" s="1">
        <v>23551</v>
      </c>
      <c r="L115" s="1">
        <f t="shared" si="7"/>
        <v>800734</v>
      </c>
      <c r="M115" s="1">
        <f t="shared" si="8"/>
        <v>600550.5</v>
      </c>
      <c r="N115" s="1">
        <f t="shared" si="9"/>
        <v>200183.5</v>
      </c>
      <c r="O115" s="4">
        <f t="shared" si="10"/>
        <v>0.25</v>
      </c>
      <c r="P115" s="1" t="s">
        <v>38</v>
      </c>
      <c r="Q115" s="1" t="s">
        <v>29</v>
      </c>
      <c r="R115" s="1">
        <f t="shared" si="11"/>
        <v>880807.4</v>
      </c>
      <c r="S115" s="1">
        <v>800734</v>
      </c>
      <c r="T115" s="5">
        <f t="shared" si="12"/>
        <v>0.90909090909090906</v>
      </c>
      <c r="U115" s="4">
        <f t="shared" si="13"/>
        <v>6.3111637018300927E-7</v>
      </c>
    </row>
    <row r="116" spans="1:21" x14ac:dyDescent="0.3">
      <c r="A116" s="3">
        <v>45406</v>
      </c>
      <c r="B116" s="1" t="s">
        <v>76</v>
      </c>
      <c r="C116" s="1" t="s">
        <v>77</v>
      </c>
      <c r="D116" s="1">
        <v>2024</v>
      </c>
      <c r="E116" s="1" t="s">
        <v>48</v>
      </c>
      <c r="F116" s="1" t="s">
        <v>68</v>
      </c>
      <c r="G116" s="1" t="s">
        <v>71</v>
      </c>
      <c r="H116" s="1" t="s">
        <v>26</v>
      </c>
      <c r="I116" s="1" t="s">
        <v>74</v>
      </c>
      <c r="J116" s="1">
        <v>16</v>
      </c>
      <c r="K116" s="1">
        <v>25291</v>
      </c>
      <c r="L116" s="1">
        <f t="shared" si="7"/>
        <v>404656</v>
      </c>
      <c r="M116" s="1">
        <f t="shared" si="8"/>
        <v>303492</v>
      </c>
      <c r="N116" s="1">
        <f t="shared" si="9"/>
        <v>101164</v>
      </c>
      <c r="O116" s="4">
        <f t="shared" si="10"/>
        <v>0.25</v>
      </c>
      <c r="P116" s="1" t="s">
        <v>28</v>
      </c>
      <c r="Q116" s="1" t="s">
        <v>29</v>
      </c>
      <c r="R116" s="1">
        <f t="shared" si="11"/>
        <v>445121.60000000003</v>
      </c>
      <c r="S116" s="1">
        <v>404656</v>
      </c>
      <c r="T116" s="5">
        <f t="shared" si="12"/>
        <v>0.90909090909090906</v>
      </c>
      <c r="U116" s="4">
        <f t="shared" si="13"/>
        <v>4.0591040903862437E-6</v>
      </c>
    </row>
    <row r="117" spans="1:21" x14ac:dyDescent="0.3">
      <c r="A117" s="3">
        <v>45407</v>
      </c>
      <c r="B117" s="1" t="s">
        <v>76</v>
      </c>
      <c r="C117" s="1" t="s">
        <v>77</v>
      </c>
      <c r="D117" s="1">
        <v>2024</v>
      </c>
      <c r="E117" s="1" t="s">
        <v>61</v>
      </c>
      <c r="F117" s="1" t="s">
        <v>67</v>
      </c>
      <c r="G117" s="1" t="s">
        <v>53</v>
      </c>
      <c r="H117" s="1" t="s">
        <v>41</v>
      </c>
      <c r="I117" s="1" t="s">
        <v>60</v>
      </c>
      <c r="J117" s="1">
        <v>26</v>
      </c>
      <c r="K117" s="1">
        <v>25564</v>
      </c>
      <c r="L117" s="1">
        <f t="shared" si="7"/>
        <v>664664</v>
      </c>
      <c r="M117" s="1">
        <f t="shared" si="8"/>
        <v>498498</v>
      </c>
      <c r="N117" s="1">
        <f t="shared" si="9"/>
        <v>166166</v>
      </c>
      <c r="O117" s="4">
        <f t="shared" si="10"/>
        <v>0.25</v>
      </c>
      <c r="P117" s="1" t="s">
        <v>28</v>
      </c>
      <c r="Q117" s="1" t="s">
        <v>47</v>
      </c>
      <c r="R117" s="1">
        <f t="shared" si="11"/>
        <v>731130.4</v>
      </c>
      <c r="S117" s="1">
        <v>664664</v>
      </c>
      <c r="T117" s="5">
        <f t="shared" si="12"/>
        <v>0.90909090909090906</v>
      </c>
      <c r="U117" s="4">
        <f t="shared" si="13"/>
        <v>1.1946536988485895E-6</v>
      </c>
    </row>
    <row r="118" spans="1:21" x14ac:dyDescent="0.3">
      <c r="A118" s="3">
        <v>45408</v>
      </c>
      <c r="B118" s="1" t="s">
        <v>76</v>
      </c>
      <c r="C118" s="1" t="s">
        <v>77</v>
      </c>
      <c r="D118" s="1">
        <v>2024</v>
      </c>
      <c r="E118" s="1" t="s">
        <v>48</v>
      </c>
      <c r="F118" s="1" t="s">
        <v>68</v>
      </c>
      <c r="G118" s="1" t="s">
        <v>59</v>
      </c>
      <c r="H118" s="1" t="s">
        <v>33</v>
      </c>
      <c r="I118" s="1" t="s">
        <v>55</v>
      </c>
      <c r="J118" s="1">
        <v>14</v>
      </c>
      <c r="K118" s="1">
        <v>37698</v>
      </c>
      <c r="L118" s="1">
        <f t="shared" si="7"/>
        <v>527772</v>
      </c>
      <c r="M118" s="1">
        <f t="shared" si="8"/>
        <v>395829</v>
      </c>
      <c r="N118" s="1">
        <f t="shared" si="9"/>
        <v>131943</v>
      </c>
      <c r="O118" s="4">
        <f t="shared" si="10"/>
        <v>0.25</v>
      </c>
      <c r="P118" s="1" t="s">
        <v>28</v>
      </c>
      <c r="Q118" s="1" t="s">
        <v>29</v>
      </c>
      <c r="R118" s="1">
        <f t="shared" si="11"/>
        <v>580549.20000000007</v>
      </c>
      <c r="S118" s="1">
        <v>527772</v>
      </c>
      <c r="T118" s="5">
        <f t="shared" si="12"/>
        <v>0.90909090909090895</v>
      </c>
      <c r="U118" s="4">
        <f t="shared" si="13"/>
        <v>1.1858121124865212E-6</v>
      </c>
    </row>
    <row r="119" spans="1:21" x14ac:dyDescent="0.3">
      <c r="A119" s="3">
        <v>45409</v>
      </c>
      <c r="B119" s="1" t="s">
        <v>76</v>
      </c>
      <c r="C119" s="1" t="s">
        <v>77</v>
      </c>
      <c r="D119" s="1">
        <v>2024</v>
      </c>
      <c r="E119" s="1" t="s">
        <v>50</v>
      </c>
      <c r="F119" s="1" t="s">
        <v>72</v>
      </c>
      <c r="G119" s="1" t="s">
        <v>40</v>
      </c>
      <c r="H119" s="1" t="s">
        <v>36</v>
      </c>
      <c r="I119" s="1" t="s">
        <v>37</v>
      </c>
      <c r="J119" s="1">
        <v>18</v>
      </c>
      <c r="K119" s="1">
        <v>18350</v>
      </c>
      <c r="L119" s="1">
        <f t="shared" si="7"/>
        <v>330300</v>
      </c>
      <c r="M119" s="1">
        <f t="shared" si="8"/>
        <v>247725</v>
      </c>
      <c r="N119" s="1">
        <f t="shared" si="9"/>
        <v>82575</v>
      </c>
      <c r="O119" s="4">
        <f t="shared" si="10"/>
        <v>0.25</v>
      </c>
      <c r="P119" s="1" t="s">
        <v>28</v>
      </c>
      <c r="Q119" s="1" t="s">
        <v>47</v>
      </c>
      <c r="R119" s="1">
        <f t="shared" si="11"/>
        <v>363330.00000000006</v>
      </c>
      <c r="S119" s="1">
        <v>330300</v>
      </c>
      <c r="T119" s="5">
        <f t="shared" si="12"/>
        <v>0.90909090909090895</v>
      </c>
      <c r="U119" s="4">
        <f t="shared" si="13"/>
        <v>1.3727921359576505E-6</v>
      </c>
    </row>
    <row r="120" spans="1:21" x14ac:dyDescent="0.3">
      <c r="A120" s="3">
        <v>45410</v>
      </c>
      <c r="B120" s="1" t="s">
        <v>76</v>
      </c>
      <c r="C120" s="1" t="s">
        <v>77</v>
      </c>
      <c r="D120" s="1">
        <v>2024</v>
      </c>
      <c r="E120" s="1" t="s">
        <v>23</v>
      </c>
      <c r="F120" s="1" t="s">
        <v>24</v>
      </c>
      <c r="G120" s="1" t="s">
        <v>44</v>
      </c>
      <c r="H120" s="1" t="s">
        <v>36</v>
      </c>
      <c r="I120" s="1" t="s">
        <v>52</v>
      </c>
      <c r="J120" s="1">
        <v>43</v>
      </c>
      <c r="K120" s="1">
        <v>3483</v>
      </c>
      <c r="L120" s="1">
        <f t="shared" si="7"/>
        <v>149769</v>
      </c>
      <c r="M120" s="1">
        <f t="shared" si="8"/>
        <v>112326.75</v>
      </c>
      <c r="N120" s="1">
        <f t="shared" si="9"/>
        <v>37442.25</v>
      </c>
      <c r="O120" s="4">
        <f t="shared" si="10"/>
        <v>0.25</v>
      </c>
      <c r="P120" s="1" t="s">
        <v>28</v>
      </c>
      <c r="Q120" s="1" t="s">
        <v>47</v>
      </c>
      <c r="R120" s="1">
        <f t="shared" si="11"/>
        <v>164745.90000000002</v>
      </c>
      <c r="S120" s="1">
        <v>149769</v>
      </c>
      <c r="T120" s="5">
        <f t="shared" si="12"/>
        <v>0.90909090909090895</v>
      </c>
      <c r="U120" s="4">
        <f t="shared" si="13"/>
        <v>3.9150891896786884E-5</v>
      </c>
    </row>
    <row r="121" spans="1:21" x14ac:dyDescent="0.3">
      <c r="A121" s="3">
        <v>45411</v>
      </c>
      <c r="B121" s="1" t="s">
        <v>76</v>
      </c>
      <c r="C121" s="1" t="s">
        <v>77</v>
      </c>
      <c r="D121" s="1">
        <v>2024</v>
      </c>
      <c r="E121" s="1" t="s">
        <v>23</v>
      </c>
      <c r="F121" s="1" t="s">
        <v>24</v>
      </c>
      <c r="G121" s="1" t="s">
        <v>59</v>
      </c>
      <c r="H121" s="1" t="s">
        <v>26</v>
      </c>
      <c r="I121" s="1" t="s">
        <v>27</v>
      </c>
      <c r="J121" s="1">
        <v>18</v>
      </c>
      <c r="K121" s="1">
        <v>48788</v>
      </c>
      <c r="L121" s="1">
        <f t="shared" si="7"/>
        <v>878184</v>
      </c>
      <c r="M121" s="1">
        <f t="shared" si="8"/>
        <v>658638</v>
      </c>
      <c r="N121" s="1">
        <f t="shared" si="9"/>
        <v>219546</v>
      </c>
      <c r="O121" s="4">
        <f t="shared" si="10"/>
        <v>0.25</v>
      </c>
      <c r="P121" s="1" t="s">
        <v>38</v>
      </c>
      <c r="Q121" s="1" t="s">
        <v>47</v>
      </c>
      <c r="R121" s="1">
        <f t="shared" si="11"/>
        <v>966002.4</v>
      </c>
      <c r="S121" s="1">
        <v>878184</v>
      </c>
      <c r="T121" s="5">
        <f t="shared" si="12"/>
        <v>0.90909090909090906</v>
      </c>
      <c r="U121" s="4">
        <f t="shared" si="13"/>
        <v>1.144665235405059E-6</v>
      </c>
    </row>
    <row r="122" spans="1:21" x14ac:dyDescent="0.3">
      <c r="A122" s="3">
        <v>45412</v>
      </c>
      <c r="B122" s="1" t="s">
        <v>76</v>
      </c>
      <c r="C122" s="1" t="s">
        <v>77</v>
      </c>
      <c r="D122" s="1">
        <v>2024</v>
      </c>
      <c r="E122" s="1" t="s">
        <v>48</v>
      </c>
      <c r="F122" s="1" t="s">
        <v>49</v>
      </c>
      <c r="G122" s="1" t="s">
        <v>71</v>
      </c>
      <c r="H122" s="1" t="s">
        <v>26</v>
      </c>
      <c r="I122" s="1" t="s">
        <v>27</v>
      </c>
      <c r="J122" s="1">
        <v>18</v>
      </c>
      <c r="K122" s="1">
        <v>49043</v>
      </c>
      <c r="L122" s="1">
        <f t="shared" si="7"/>
        <v>882774</v>
      </c>
      <c r="M122" s="1">
        <f t="shared" si="8"/>
        <v>662080.5</v>
      </c>
      <c r="N122" s="1">
        <f t="shared" si="9"/>
        <v>220693.5</v>
      </c>
      <c r="O122" s="4">
        <f t="shared" si="10"/>
        <v>0.25</v>
      </c>
      <c r="P122" s="1" t="s">
        <v>28</v>
      </c>
      <c r="Q122" s="1" t="s">
        <v>29</v>
      </c>
      <c r="R122" s="1">
        <f t="shared" si="11"/>
        <v>971051.4</v>
      </c>
      <c r="S122" s="1">
        <v>882774</v>
      </c>
      <c r="T122" s="5">
        <f t="shared" si="12"/>
        <v>0.90909090909090906</v>
      </c>
      <c r="U122" s="4">
        <f t="shared" si="13"/>
        <v>4.1874017013728751E-7</v>
      </c>
    </row>
    <row r="123" spans="1:21" x14ac:dyDescent="0.3">
      <c r="A123" s="3">
        <v>45413</v>
      </c>
      <c r="B123" s="1" t="s">
        <v>79</v>
      </c>
      <c r="C123" s="1" t="s">
        <v>77</v>
      </c>
      <c r="D123" s="1">
        <v>2024</v>
      </c>
      <c r="E123" s="1" t="s">
        <v>61</v>
      </c>
      <c r="F123" s="1" t="s">
        <v>62</v>
      </c>
      <c r="G123" s="1" t="s">
        <v>32</v>
      </c>
      <c r="H123" s="1" t="s">
        <v>41</v>
      </c>
      <c r="I123" s="1" t="s">
        <v>42</v>
      </c>
      <c r="J123" s="1">
        <v>16</v>
      </c>
      <c r="K123" s="1">
        <v>20395</v>
      </c>
      <c r="L123" s="1">
        <f t="shared" si="7"/>
        <v>326320</v>
      </c>
      <c r="M123" s="1">
        <f t="shared" si="8"/>
        <v>244740</v>
      </c>
      <c r="N123" s="1">
        <f t="shared" si="9"/>
        <v>81580</v>
      </c>
      <c r="O123" s="4">
        <f t="shared" si="10"/>
        <v>0.25</v>
      </c>
      <c r="P123" s="1" t="s">
        <v>28</v>
      </c>
      <c r="Q123" s="1" t="s">
        <v>47</v>
      </c>
      <c r="R123" s="1">
        <f t="shared" si="11"/>
        <v>358952</v>
      </c>
      <c r="S123" s="1">
        <v>326320</v>
      </c>
      <c r="T123" s="5">
        <f t="shared" si="12"/>
        <v>0.90909090909090906</v>
      </c>
      <c r="U123" s="4">
        <f t="shared" si="13"/>
        <v>1.2666603398760721E-6</v>
      </c>
    </row>
    <row r="124" spans="1:21" x14ac:dyDescent="0.3">
      <c r="A124" s="3">
        <v>45414</v>
      </c>
      <c r="B124" s="1" t="s">
        <v>79</v>
      </c>
      <c r="C124" s="1" t="s">
        <v>77</v>
      </c>
      <c r="D124" s="1">
        <v>2024</v>
      </c>
      <c r="E124" s="1" t="s">
        <v>23</v>
      </c>
      <c r="F124" s="1" t="s">
        <v>24</v>
      </c>
      <c r="G124" s="1" t="s">
        <v>35</v>
      </c>
      <c r="H124" s="1" t="s">
        <v>33</v>
      </c>
      <c r="I124" s="1" t="s">
        <v>45</v>
      </c>
      <c r="J124" s="1">
        <v>3</v>
      </c>
      <c r="K124" s="1">
        <v>44960</v>
      </c>
      <c r="L124" s="1">
        <f t="shared" si="7"/>
        <v>134880</v>
      </c>
      <c r="M124" s="1">
        <f t="shared" si="8"/>
        <v>101160</v>
      </c>
      <c r="N124" s="1">
        <f t="shared" si="9"/>
        <v>33720</v>
      </c>
      <c r="O124" s="4">
        <f t="shared" si="10"/>
        <v>0.25</v>
      </c>
      <c r="P124" s="1" t="s">
        <v>38</v>
      </c>
      <c r="Q124" s="1" t="s">
        <v>47</v>
      </c>
      <c r="R124" s="1">
        <f t="shared" si="11"/>
        <v>148368</v>
      </c>
      <c r="S124" s="1">
        <v>134880</v>
      </c>
      <c r="T124" s="5">
        <f t="shared" si="12"/>
        <v>0.90909090909090906</v>
      </c>
      <c r="U124" s="4">
        <f t="shared" si="13"/>
        <v>2.4705629994554274E-6</v>
      </c>
    </row>
    <row r="125" spans="1:21" x14ac:dyDescent="0.3">
      <c r="A125" s="3">
        <v>45415</v>
      </c>
      <c r="B125" s="1" t="s">
        <v>79</v>
      </c>
      <c r="C125" s="1" t="s">
        <v>77</v>
      </c>
      <c r="D125" s="1">
        <v>2024</v>
      </c>
      <c r="E125" s="1" t="s">
        <v>61</v>
      </c>
      <c r="F125" s="1" t="s">
        <v>62</v>
      </c>
      <c r="G125" s="1" t="s">
        <v>32</v>
      </c>
      <c r="H125" s="1" t="s">
        <v>33</v>
      </c>
      <c r="I125" s="1" t="s">
        <v>55</v>
      </c>
      <c r="J125" s="1">
        <v>9</v>
      </c>
      <c r="K125" s="1">
        <v>4994</v>
      </c>
      <c r="L125" s="1">
        <f t="shared" si="7"/>
        <v>44946</v>
      </c>
      <c r="M125" s="1">
        <f t="shared" si="8"/>
        <v>33709.5</v>
      </c>
      <c r="N125" s="1">
        <f t="shared" si="9"/>
        <v>11236.5</v>
      </c>
      <c r="O125" s="4">
        <f t="shared" si="10"/>
        <v>0.25</v>
      </c>
      <c r="P125" s="1" t="s">
        <v>38</v>
      </c>
      <c r="Q125" s="1" t="s">
        <v>47</v>
      </c>
      <c r="R125" s="1">
        <f t="shared" si="11"/>
        <v>49440.600000000006</v>
      </c>
      <c r="S125" s="1">
        <v>44946</v>
      </c>
      <c r="T125" s="5">
        <f t="shared" si="12"/>
        <v>0.90909090909090895</v>
      </c>
      <c r="U125" s="4">
        <f t="shared" si="13"/>
        <v>9.4429952697465478E-4</v>
      </c>
    </row>
    <row r="126" spans="1:21" x14ac:dyDescent="0.3">
      <c r="A126" s="3">
        <v>45416</v>
      </c>
      <c r="B126" s="1" t="s">
        <v>79</v>
      </c>
      <c r="C126" s="1" t="s">
        <v>77</v>
      </c>
      <c r="D126" s="1">
        <v>2024</v>
      </c>
      <c r="E126" s="1" t="s">
        <v>50</v>
      </c>
      <c r="F126" s="1" t="s">
        <v>51</v>
      </c>
      <c r="G126" s="1" t="s">
        <v>59</v>
      </c>
      <c r="H126" s="1" t="s">
        <v>36</v>
      </c>
      <c r="I126" s="1" t="s">
        <v>37</v>
      </c>
      <c r="J126" s="1">
        <v>46</v>
      </c>
      <c r="K126" s="1">
        <v>41470</v>
      </c>
      <c r="L126" s="1">
        <f t="shared" si="7"/>
        <v>1907620</v>
      </c>
      <c r="M126" s="1">
        <f t="shared" si="8"/>
        <v>1430715</v>
      </c>
      <c r="N126" s="1">
        <f t="shared" si="9"/>
        <v>476905</v>
      </c>
      <c r="O126" s="4">
        <f t="shared" si="10"/>
        <v>0.25</v>
      </c>
      <c r="P126" s="1" t="s">
        <v>38</v>
      </c>
      <c r="Q126" s="1" t="s">
        <v>29</v>
      </c>
      <c r="R126" s="1">
        <f t="shared" si="11"/>
        <v>2098382</v>
      </c>
      <c r="S126" s="1">
        <v>1907620</v>
      </c>
      <c r="T126" s="5">
        <f t="shared" si="12"/>
        <v>0.90909090909090906</v>
      </c>
      <c r="U126" s="4">
        <f t="shared" si="13"/>
        <v>4.2856800561916514E-7</v>
      </c>
    </row>
    <row r="127" spans="1:21" x14ac:dyDescent="0.3">
      <c r="A127" s="3">
        <v>45417</v>
      </c>
      <c r="B127" s="1" t="s">
        <v>79</v>
      </c>
      <c r="C127" s="1" t="s">
        <v>77</v>
      </c>
      <c r="D127" s="1">
        <v>2024</v>
      </c>
      <c r="E127" s="1" t="s">
        <v>23</v>
      </c>
      <c r="F127" s="1" t="s">
        <v>24</v>
      </c>
      <c r="G127" s="1" t="s">
        <v>59</v>
      </c>
      <c r="H127" s="1" t="s">
        <v>26</v>
      </c>
      <c r="I127" s="1" t="s">
        <v>58</v>
      </c>
      <c r="J127" s="1">
        <v>45</v>
      </c>
      <c r="K127" s="1">
        <v>34657</v>
      </c>
      <c r="L127" s="1">
        <f t="shared" si="7"/>
        <v>1559565</v>
      </c>
      <c r="M127" s="1">
        <f t="shared" si="8"/>
        <v>1169673.75</v>
      </c>
      <c r="N127" s="1">
        <f t="shared" si="9"/>
        <v>389891.25</v>
      </c>
      <c r="O127" s="4">
        <f t="shared" si="10"/>
        <v>0.25</v>
      </c>
      <c r="P127" s="1" t="s">
        <v>38</v>
      </c>
      <c r="Q127" s="1" t="s">
        <v>29</v>
      </c>
      <c r="R127" s="1">
        <f t="shared" si="11"/>
        <v>1715521.5000000002</v>
      </c>
      <c r="S127" s="1">
        <v>1559565</v>
      </c>
      <c r="T127" s="5">
        <f t="shared" si="12"/>
        <v>0.90909090909090895</v>
      </c>
      <c r="U127" s="4">
        <f t="shared" si="13"/>
        <v>4.389281846959581E-8</v>
      </c>
    </row>
    <row r="128" spans="1:21" x14ac:dyDescent="0.3">
      <c r="A128" s="3">
        <v>45418</v>
      </c>
      <c r="B128" s="1" t="s">
        <v>79</v>
      </c>
      <c r="C128" s="1" t="s">
        <v>77</v>
      </c>
      <c r="D128" s="1">
        <v>2024</v>
      </c>
      <c r="E128" s="1" t="s">
        <v>30</v>
      </c>
      <c r="F128" s="1" t="s">
        <v>31</v>
      </c>
      <c r="G128" s="1" t="s">
        <v>32</v>
      </c>
      <c r="H128" s="1" t="s">
        <v>26</v>
      </c>
      <c r="I128" s="1" t="s">
        <v>64</v>
      </c>
      <c r="J128" s="1">
        <v>9</v>
      </c>
      <c r="K128" s="1">
        <v>11862</v>
      </c>
      <c r="L128" s="1">
        <f t="shared" si="7"/>
        <v>106758</v>
      </c>
      <c r="M128" s="1">
        <f t="shared" si="8"/>
        <v>80068.5</v>
      </c>
      <c r="N128" s="1">
        <f t="shared" si="9"/>
        <v>26689.5</v>
      </c>
      <c r="O128" s="4">
        <f t="shared" si="10"/>
        <v>0.25</v>
      </c>
      <c r="P128" s="1" t="s">
        <v>28</v>
      </c>
      <c r="Q128" s="1" t="s">
        <v>29</v>
      </c>
      <c r="R128" s="1">
        <f t="shared" si="11"/>
        <v>117433.8</v>
      </c>
      <c r="S128" s="1">
        <v>106758</v>
      </c>
      <c r="T128" s="5">
        <f t="shared" si="12"/>
        <v>0.90909090909090906</v>
      </c>
      <c r="U128" s="4">
        <f t="shared" si="13"/>
        <v>2.3601440229878535E-5</v>
      </c>
    </row>
    <row r="129" spans="1:21" x14ac:dyDescent="0.3">
      <c r="A129" s="3">
        <v>45419</v>
      </c>
      <c r="B129" s="1" t="s">
        <v>79</v>
      </c>
      <c r="C129" s="1" t="s">
        <v>77</v>
      </c>
      <c r="D129" s="1">
        <v>2024</v>
      </c>
      <c r="E129" s="1" t="s">
        <v>48</v>
      </c>
      <c r="F129" s="1" t="s">
        <v>49</v>
      </c>
      <c r="G129" s="1" t="s">
        <v>35</v>
      </c>
      <c r="H129" s="1" t="s">
        <v>41</v>
      </c>
      <c r="I129" s="1" t="s">
        <v>60</v>
      </c>
      <c r="J129" s="1">
        <v>32</v>
      </c>
      <c r="K129" s="1">
        <v>8406</v>
      </c>
      <c r="L129" s="1">
        <f t="shared" si="7"/>
        <v>268992</v>
      </c>
      <c r="M129" s="1">
        <f t="shared" si="8"/>
        <v>201744</v>
      </c>
      <c r="N129" s="1">
        <f t="shared" si="9"/>
        <v>67248</v>
      </c>
      <c r="O129" s="4">
        <f t="shared" si="10"/>
        <v>0.25</v>
      </c>
      <c r="P129" s="1" t="s">
        <v>38</v>
      </c>
      <c r="Q129" s="1" t="s">
        <v>29</v>
      </c>
      <c r="R129" s="1">
        <f t="shared" si="11"/>
        <v>295891.20000000001</v>
      </c>
      <c r="S129" s="1">
        <v>268992</v>
      </c>
      <c r="T129" s="5">
        <f t="shared" si="12"/>
        <v>0.90909090909090906</v>
      </c>
      <c r="U129" s="4">
        <f t="shared" si="13"/>
        <v>1.268648307529223E-5</v>
      </c>
    </row>
    <row r="130" spans="1:21" x14ac:dyDescent="0.3">
      <c r="A130" s="3">
        <v>45420</v>
      </c>
      <c r="B130" s="1" t="s">
        <v>79</v>
      </c>
      <c r="C130" s="1" t="s">
        <v>77</v>
      </c>
      <c r="D130" s="1">
        <v>2024</v>
      </c>
      <c r="E130" s="1" t="s">
        <v>50</v>
      </c>
      <c r="F130" s="1" t="s">
        <v>72</v>
      </c>
      <c r="G130" s="1" t="s">
        <v>53</v>
      </c>
      <c r="H130" s="1" t="s">
        <v>41</v>
      </c>
      <c r="I130" s="1" t="s">
        <v>60</v>
      </c>
      <c r="J130" s="1">
        <v>28</v>
      </c>
      <c r="K130" s="1">
        <v>32784</v>
      </c>
      <c r="L130" s="1">
        <f t="shared" si="7"/>
        <v>917952</v>
      </c>
      <c r="M130" s="1">
        <f t="shared" si="8"/>
        <v>688464</v>
      </c>
      <c r="N130" s="1">
        <f t="shared" si="9"/>
        <v>229488</v>
      </c>
      <c r="O130" s="4">
        <f t="shared" si="10"/>
        <v>0.25</v>
      </c>
      <c r="P130" s="1" t="s">
        <v>28</v>
      </c>
      <c r="Q130" s="1" t="s">
        <v>47</v>
      </c>
      <c r="R130" s="1">
        <f t="shared" si="11"/>
        <v>1009747.2000000001</v>
      </c>
      <c r="S130" s="1">
        <v>917952</v>
      </c>
      <c r="T130" s="5">
        <f t="shared" si="12"/>
        <v>0.90909090909090906</v>
      </c>
      <c r="U130" s="4">
        <f t="shared" si="13"/>
        <v>6.8379951242394523E-7</v>
      </c>
    </row>
    <row r="131" spans="1:21" x14ac:dyDescent="0.3">
      <c r="A131" s="3">
        <v>45421</v>
      </c>
      <c r="B131" s="1" t="s">
        <v>79</v>
      </c>
      <c r="C131" s="1" t="s">
        <v>77</v>
      </c>
      <c r="D131" s="1">
        <v>2024</v>
      </c>
      <c r="E131" s="1" t="s">
        <v>61</v>
      </c>
      <c r="F131" s="1" t="s">
        <v>62</v>
      </c>
      <c r="G131" s="1" t="s">
        <v>44</v>
      </c>
      <c r="H131" s="1" t="s">
        <v>41</v>
      </c>
      <c r="I131" s="1" t="s">
        <v>60</v>
      </c>
      <c r="J131" s="1">
        <v>38</v>
      </c>
      <c r="K131" s="1">
        <v>15163</v>
      </c>
      <c r="L131" s="1">
        <f t="shared" ref="L131:L194" si="14">J131*K131</f>
        <v>576194</v>
      </c>
      <c r="M131" s="1">
        <f t="shared" ref="M131:M194" si="15">L131*0.75</f>
        <v>432145.5</v>
      </c>
      <c r="N131" s="1">
        <f t="shared" ref="N131:N194" si="16">L131-M131</f>
        <v>144048.5</v>
      </c>
      <c r="O131" s="4">
        <f t="shared" ref="O131:O194" si="17">N131/L131</f>
        <v>0.25</v>
      </c>
      <c r="P131" s="1" t="s">
        <v>38</v>
      </c>
      <c r="Q131" s="1" t="s">
        <v>47</v>
      </c>
      <c r="R131" s="1">
        <f t="shared" ref="R131:R194" si="18">L131*1.1</f>
        <v>633813.4</v>
      </c>
      <c r="S131" s="1">
        <v>576194</v>
      </c>
      <c r="T131" s="5">
        <f t="shared" ref="T131:T194" si="19">S131/R131</f>
        <v>0.90909090909090906</v>
      </c>
      <c r="U131" s="4">
        <f t="shared" ref="U131:U194" si="20">L132/L131/L131</f>
        <v>4.8162960381851015E-6</v>
      </c>
    </row>
    <row r="132" spans="1:21" x14ac:dyDescent="0.3">
      <c r="A132" s="3">
        <v>45422</v>
      </c>
      <c r="B132" s="1" t="s">
        <v>79</v>
      </c>
      <c r="C132" s="1" t="s">
        <v>77</v>
      </c>
      <c r="D132" s="1">
        <v>2024</v>
      </c>
      <c r="E132" s="1" t="s">
        <v>50</v>
      </c>
      <c r="F132" s="1" t="s">
        <v>51</v>
      </c>
      <c r="G132" s="1" t="s">
        <v>35</v>
      </c>
      <c r="H132" s="1" t="s">
        <v>33</v>
      </c>
      <c r="I132" s="1" t="s">
        <v>45</v>
      </c>
      <c r="J132" s="1">
        <v>32</v>
      </c>
      <c r="K132" s="1">
        <v>49969</v>
      </c>
      <c r="L132" s="1">
        <f t="shared" si="14"/>
        <v>1599008</v>
      </c>
      <c r="M132" s="1">
        <f t="shared" si="15"/>
        <v>1199256</v>
      </c>
      <c r="N132" s="1">
        <f t="shared" si="16"/>
        <v>399752</v>
      </c>
      <c r="O132" s="4">
        <f t="shared" si="17"/>
        <v>0.25</v>
      </c>
      <c r="P132" s="1" t="s">
        <v>38</v>
      </c>
      <c r="Q132" s="1" t="s">
        <v>29</v>
      </c>
      <c r="R132" s="1">
        <f t="shared" si="18"/>
        <v>1758908.8</v>
      </c>
      <c r="S132" s="1">
        <v>1599008</v>
      </c>
      <c r="T132" s="5">
        <f t="shared" si="19"/>
        <v>0.90909090909090906</v>
      </c>
      <c r="U132" s="4">
        <f t="shared" si="20"/>
        <v>1.2592484840651236E-7</v>
      </c>
    </row>
    <row r="133" spans="1:21" x14ac:dyDescent="0.3">
      <c r="A133" s="3">
        <v>45423</v>
      </c>
      <c r="B133" s="1" t="s">
        <v>79</v>
      </c>
      <c r="C133" s="1" t="s">
        <v>77</v>
      </c>
      <c r="D133" s="1">
        <v>2024</v>
      </c>
      <c r="E133" s="1" t="s">
        <v>30</v>
      </c>
      <c r="F133" s="1" t="s">
        <v>54</v>
      </c>
      <c r="G133" s="1" t="s">
        <v>35</v>
      </c>
      <c r="H133" s="1" t="s">
        <v>33</v>
      </c>
      <c r="I133" s="1" t="s">
        <v>55</v>
      </c>
      <c r="J133" s="1">
        <v>16</v>
      </c>
      <c r="K133" s="1">
        <v>20123</v>
      </c>
      <c r="L133" s="1">
        <f t="shared" si="14"/>
        <v>321968</v>
      </c>
      <c r="M133" s="1">
        <f t="shared" si="15"/>
        <v>241476</v>
      </c>
      <c r="N133" s="1">
        <f t="shared" si="16"/>
        <v>80492</v>
      </c>
      <c r="O133" s="4">
        <f t="shared" si="17"/>
        <v>0.25</v>
      </c>
      <c r="P133" s="1" t="s">
        <v>28</v>
      </c>
      <c r="Q133" s="1" t="s">
        <v>29</v>
      </c>
      <c r="R133" s="1">
        <f t="shared" si="18"/>
        <v>354164.80000000005</v>
      </c>
      <c r="S133" s="1">
        <v>321968</v>
      </c>
      <c r="T133" s="5">
        <f t="shared" si="19"/>
        <v>0.90909090909090895</v>
      </c>
      <c r="U133" s="4">
        <f t="shared" si="20"/>
        <v>7.7330094705120041E-7</v>
      </c>
    </row>
    <row r="134" spans="1:21" x14ac:dyDescent="0.3">
      <c r="A134" s="3">
        <v>45424</v>
      </c>
      <c r="B134" s="1" t="s">
        <v>79</v>
      </c>
      <c r="C134" s="1" t="s">
        <v>77</v>
      </c>
      <c r="D134" s="1">
        <v>2024</v>
      </c>
      <c r="E134" s="1" t="s">
        <v>50</v>
      </c>
      <c r="F134" s="1" t="s">
        <v>51</v>
      </c>
      <c r="G134" s="1" t="s">
        <v>32</v>
      </c>
      <c r="H134" s="1" t="s">
        <v>33</v>
      </c>
      <c r="I134" s="1" t="s">
        <v>55</v>
      </c>
      <c r="J134" s="1">
        <v>27</v>
      </c>
      <c r="K134" s="1">
        <v>2969</v>
      </c>
      <c r="L134" s="1">
        <f t="shared" si="14"/>
        <v>80163</v>
      </c>
      <c r="M134" s="1">
        <f t="shared" si="15"/>
        <v>60122.25</v>
      </c>
      <c r="N134" s="1">
        <f t="shared" si="16"/>
        <v>20040.75</v>
      </c>
      <c r="O134" s="4">
        <f t="shared" si="17"/>
        <v>0.25</v>
      </c>
      <c r="P134" s="1" t="s">
        <v>28</v>
      </c>
      <c r="Q134" s="1" t="s">
        <v>29</v>
      </c>
      <c r="R134" s="1">
        <f t="shared" si="18"/>
        <v>88179.3</v>
      </c>
      <c r="S134" s="1">
        <v>80163</v>
      </c>
      <c r="T134" s="5">
        <f t="shared" si="19"/>
        <v>0.90909090909090906</v>
      </c>
      <c r="U134" s="4">
        <f t="shared" si="20"/>
        <v>1.3123887550642329E-4</v>
      </c>
    </row>
    <row r="135" spans="1:21" x14ac:dyDescent="0.3">
      <c r="A135" s="3">
        <v>45425</v>
      </c>
      <c r="B135" s="1" t="s">
        <v>79</v>
      </c>
      <c r="C135" s="1" t="s">
        <v>77</v>
      </c>
      <c r="D135" s="1">
        <v>2024</v>
      </c>
      <c r="E135" s="1" t="s">
        <v>48</v>
      </c>
      <c r="F135" s="1" t="s">
        <v>49</v>
      </c>
      <c r="G135" s="1" t="s">
        <v>32</v>
      </c>
      <c r="H135" s="1" t="s">
        <v>33</v>
      </c>
      <c r="I135" s="1" t="s">
        <v>55</v>
      </c>
      <c r="J135" s="1">
        <v>31</v>
      </c>
      <c r="K135" s="1">
        <v>27205</v>
      </c>
      <c r="L135" s="1">
        <f t="shared" si="14"/>
        <v>843355</v>
      </c>
      <c r="M135" s="1">
        <f t="shared" si="15"/>
        <v>632516.25</v>
      </c>
      <c r="N135" s="1">
        <f t="shared" si="16"/>
        <v>210838.75</v>
      </c>
      <c r="O135" s="4">
        <f t="shared" si="17"/>
        <v>0.25</v>
      </c>
      <c r="P135" s="1" t="s">
        <v>38</v>
      </c>
      <c r="Q135" s="1" t="s">
        <v>29</v>
      </c>
      <c r="R135" s="1">
        <f t="shared" si="18"/>
        <v>927690.50000000012</v>
      </c>
      <c r="S135" s="1">
        <v>843355</v>
      </c>
      <c r="T135" s="5">
        <f t="shared" si="19"/>
        <v>0.90909090909090895</v>
      </c>
      <c r="U135" s="4">
        <f t="shared" si="20"/>
        <v>1.8258619047798357E-6</v>
      </c>
    </row>
    <row r="136" spans="1:21" x14ac:dyDescent="0.3">
      <c r="A136" s="3">
        <v>45426</v>
      </c>
      <c r="B136" s="1" t="s">
        <v>79</v>
      </c>
      <c r="C136" s="1" t="s">
        <v>77</v>
      </c>
      <c r="D136" s="1">
        <v>2024</v>
      </c>
      <c r="E136" s="1" t="s">
        <v>50</v>
      </c>
      <c r="F136" s="1" t="s">
        <v>72</v>
      </c>
      <c r="G136" s="1" t="s">
        <v>35</v>
      </c>
      <c r="H136" s="1" t="s">
        <v>26</v>
      </c>
      <c r="I136" s="1" t="s">
        <v>64</v>
      </c>
      <c r="J136" s="1">
        <v>40</v>
      </c>
      <c r="K136" s="1">
        <v>32466</v>
      </c>
      <c r="L136" s="1">
        <f t="shared" si="14"/>
        <v>1298640</v>
      </c>
      <c r="M136" s="1">
        <f t="shared" si="15"/>
        <v>973980</v>
      </c>
      <c r="N136" s="1">
        <f t="shared" si="16"/>
        <v>324660</v>
      </c>
      <c r="O136" s="4">
        <f t="shared" si="17"/>
        <v>0.25</v>
      </c>
      <c r="P136" s="1" t="s">
        <v>38</v>
      </c>
      <c r="Q136" s="1" t="s">
        <v>47</v>
      </c>
      <c r="R136" s="1">
        <f t="shared" si="18"/>
        <v>1428504</v>
      </c>
      <c r="S136" s="1">
        <v>1298640</v>
      </c>
      <c r="T136" s="5">
        <f t="shared" si="19"/>
        <v>0.90909090909090906</v>
      </c>
      <c r="U136" s="4">
        <f t="shared" si="20"/>
        <v>2.6148884076401278E-7</v>
      </c>
    </row>
    <row r="137" spans="1:21" x14ac:dyDescent="0.3">
      <c r="A137" s="3">
        <v>45427</v>
      </c>
      <c r="B137" s="1" t="s">
        <v>79</v>
      </c>
      <c r="C137" s="1" t="s">
        <v>77</v>
      </c>
      <c r="D137" s="1">
        <v>2024</v>
      </c>
      <c r="E137" s="1" t="s">
        <v>30</v>
      </c>
      <c r="F137" s="1" t="s">
        <v>31</v>
      </c>
      <c r="G137" s="1" t="s">
        <v>71</v>
      </c>
      <c r="H137" s="1" t="s">
        <v>33</v>
      </c>
      <c r="I137" s="1" t="s">
        <v>45</v>
      </c>
      <c r="J137" s="1">
        <v>32</v>
      </c>
      <c r="K137" s="1">
        <v>13781</v>
      </c>
      <c r="L137" s="1">
        <f t="shared" si="14"/>
        <v>440992</v>
      </c>
      <c r="M137" s="1">
        <f t="shared" si="15"/>
        <v>330744</v>
      </c>
      <c r="N137" s="1">
        <f t="shared" si="16"/>
        <v>110248</v>
      </c>
      <c r="O137" s="4">
        <f t="shared" si="17"/>
        <v>0.25</v>
      </c>
      <c r="P137" s="1" t="s">
        <v>38</v>
      </c>
      <c r="Q137" s="1" t="s">
        <v>29</v>
      </c>
      <c r="R137" s="1">
        <f t="shared" si="18"/>
        <v>485091.2</v>
      </c>
      <c r="S137" s="1">
        <v>440992</v>
      </c>
      <c r="T137" s="5">
        <f t="shared" si="19"/>
        <v>0.90909090909090906</v>
      </c>
      <c r="U137" s="4">
        <f t="shared" si="20"/>
        <v>3.6258430577617434E-6</v>
      </c>
    </row>
    <row r="138" spans="1:21" x14ac:dyDescent="0.3">
      <c r="A138" s="3">
        <v>45428</v>
      </c>
      <c r="B138" s="1" t="s">
        <v>79</v>
      </c>
      <c r="C138" s="1" t="s">
        <v>77</v>
      </c>
      <c r="D138" s="1">
        <v>2024</v>
      </c>
      <c r="E138" s="1" t="s">
        <v>23</v>
      </c>
      <c r="F138" s="1" t="s">
        <v>43</v>
      </c>
      <c r="G138" s="1" t="s">
        <v>40</v>
      </c>
      <c r="H138" s="1" t="s">
        <v>36</v>
      </c>
      <c r="I138" s="1" t="s">
        <v>52</v>
      </c>
      <c r="J138" s="1">
        <v>12</v>
      </c>
      <c r="K138" s="1">
        <v>58761</v>
      </c>
      <c r="L138" s="1">
        <f t="shared" si="14"/>
        <v>705132</v>
      </c>
      <c r="M138" s="1">
        <f t="shared" si="15"/>
        <v>528849</v>
      </c>
      <c r="N138" s="1">
        <f t="shared" si="16"/>
        <v>176283</v>
      </c>
      <c r="O138" s="4">
        <f t="shared" si="17"/>
        <v>0.25</v>
      </c>
      <c r="P138" s="1" t="s">
        <v>38</v>
      </c>
      <c r="Q138" s="1" t="s">
        <v>29</v>
      </c>
      <c r="R138" s="1">
        <f t="shared" si="18"/>
        <v>775645.20000000007</v>
      </c>
      <c r="S138" s="1">
        <v>705132</v>
      </c>
      <c r="T138" s="5">
        <f t="shared" si="19"/>
        <v>0.90909090909090906</v>
      </c>
      <c r="U138" s="4">
        <f t="shared" si="20"/>
        <v>5.3120290379732581E-7</v>
      </c>
    </row>
    <row r="139" spans="1:21" x14ac:dyDescent="0.3">
      <c r="A139" s="3">
        <v>45429</v>
      </c>
      <c r="B139" s="1" t="s">
        <v>79</v>
      </c>
      <c r="C139" s="1" t="s">
        <v>77</v>
      </c>
      <c r="D139" s="1">
        <v>2024</v>
      </c>
      <c r="E139" s="1" t="s">
        <v>48</v>
      </c>
      <c r="F139" s="1" t="s">
        <v>49</v>
      </c>
      <c r="G139" s="1" t="s">
        <v>40</v>
      </c>
      <c r="H139" s="1" t="s">
        <v>36</v>
      </c>
      <c r="I139" s="1" t="s">
        <v>37</v>
      </c>
      <c r="J139" s="1">
        <v>12</v>
      </c>
      <c r="K139" s="1">
        <v>22010</v>
      </c>
      <c r="L139" s="1">
        <f t="shared" si="14"/>
        <v>264120</v>
      </c>
      <c r="M139" s="1">
        <f t="shared" si="15"/>
        <v>198090</v>
      </c>
      <c r="N139" s="1">
        <f t="shared" si="16"/>
        <v>66030</v>
      </c>
      <c r="O139" s="4">
        <f t="shared" si="17"/>
        <v>0.25</v>
      </c>
      <c r="P139" s="1" t="s">
        <v>28</v>
      </c>
      <c r="Q139" s="1" t="s">
        <v>47</v>
      </c>
      <c r="R139" s="1">
        <f t="shared" si="18"/>
        <v>290532</v>
      </c>
      <c r="S139" s="1">
        <v>264120</v>
      </c>
      <c r="T139" s="5">
        <f t="shared" si="19"/>
        <v>0.90909090909090906</v>
      </c>
      <c r="U139" s="4">
        <f t="shared" si="20"/>
        <v>8.9185146132847214E-6</v>
      </c>
    </row>
    <row r="140" spans="1:21" x14ac:dyDescent="0.3">
      <c r="A140" s="3">
        <v>45430</v>
      </c>
      <c r="B140" s="1" t="s">
        <v>79</v>
      </c>
      <c r="C140" s="1" t="s">
        <v>77</v>
      </c>
      <c r="D140" s="1">
        <v>2024</v>
      </c>
      <c r="E140" s="1" t="s">
        <v>30</v>
      </c>
      <c r="F140" s="1" t="s">
        <v>31</v>
      </c>
      <c r="G140" s="1" t="s">
        <v>71</v>
      </c>
      <c r="H140" s="1" t="s">
        <v>33</v>
      </c>
      <c r="I140" s="1" t="s">
        <v>34</v>
      </c>
      <c r="J140" s="1">
        <v>46</v>
      </c>
      <c r="K140" s="1">
        <v>13525</v>
      </c>
      <c r="L140" s="1">
        <f t="shared" si="14"/>
        <v>622150</v>
      </c>
      <c r="M140" s="1">
        <f t="shared" si="15"/>
        <v>466612.5</v>
      </c>
      <c r="N140" s="1">
        <f t="shared" si="16"/>
        <v>155537.5</v>
      </c>
      <c r="O140" s="4">
        <f t="shared" si="17"/>
        <v>0.25</v>
      </c>
      <c r="P140" s="1" t="s">
        <v>28</v>
      </c>
      <c r="Q140" s="1" t="s">
        <v>29</v>
      </c>
      <c r="R140" s="1">
        <f t="shared" si="18"/>
        <v>684365</v>
      </c>
      <c r="S140" s="1">
        <v>622150</v>
      </c>
      <c r="T140" s="5">
        <f t="shared" si="19"/>
        <v>0.90909090909090906</v>
      </c>
      <c r="U140" s="4">
        <f t="shared" si="20"/>
        <v>1.6709276354342805E-6</v>
      </c>
    </row>
    <row r="141" spans="1:21" x14ac:dyDescent="0.3">
      <c r="A141" s="3">
        <v>45431</v>
      </c>
      <c r="B141" s="1" t="s">
        <v>79</v>
      </c>
      <c r="C141" s="1" t="s">
        <v>77</v>
      </c>
      <c r="D141" s="1">
        <v>2024</v>
      </c>
      <c r="E141" s="1" t="s">
        <v>50</v>
      </c>
      <c r="F141" s="1" t="s">
        <v>51</v>
      </c>
      <c r="G141" s="1" t="s">
        <v>40</v>
      </c>
      <c r="H141" s="1" t="s">
        <v>41</v>
      </c>
      <c r="I141" s="1" t="s">
        <v>46</v>
      </c>
      <c r="J141" s="1">
        <v>47</v>
      </c>
      <c r="K141" s="1">
        <v>13761</v>
      </c>
      <c r="L141" s="1">
        <f t="shared" si="14"/>
        <v>646767</v>
      </c>
      <c r="M141" s="1">
        <f t="shared" si="15"/>
        <v>485075.25</v>
      </c>
      <c r="N141" s="1">
        <f t="shared" si="16"/>
        <v>161691.75</v>
      </c>
      <c r="O141" s="4">
        <f t="shared" si="17"/>
        <v>0.25</v>
      </c>
      <c r="P141" s="1" t="s">
        <v>28</v>
      </c>
      <c r="Q141" s="1" t="s">
        <v>29</v>
      </c>
      <c r="R141" s="1">
        <f t="shared" si="18"/>
        <v>711443.70000000007</v>
      </c>
      <c r="S141" s="1">
        <v>646767</v>
      </c>
      <c r="T141" s="5">
        <f t="shared" si="19"/>
        <v>0.90909090909090895</v>
      </c>
      <c r="U141" s="4">
        <f t="shared" si="20"/>
        <v>2.3619463588297768E-6</v>
      </c>
    </row>
    <row r="142" spans="1:21" x14ac:dyDescent="0.3">
      <c r="A142" s="3">
        <v>45432</v>
      </c>
      <c r="B142" s="1" t="s">
        <v>79</v>
      </c>
      <c r="C142" s="1" t="s">
        <v>77</v>
      </c>
      <c r="D142" s="1">
        <v>2024</v>
      </c>
      <c r="E142" s="1" t="s">
        <v>23</v>
      </c>
      <c r="F142" s="1" t="s">
        <v>24</v>
      </c>
      <c r="G142" s="1" t="s">
        <v>32</v>
      </c>
      <c r="H142" s="1" t="s">
        <v>36</v>
      </c>
      <c r="I142" s="1" t="s">
        <v>52</v>
      </c>
      <c r="J142" s="1">
        <v>20</v>
      </c>
      <c r="K142" s="1">
        <v>49401</v>
      </c>
      <c r="L142" s="1">
        <f t="shared" si="14"/>
        <v>988020</v>
      </c>
      <c r="M142" s="1">
        <f t="shared" si="15"/>
        <v>741015</v>
      </c>
      <c r="N142" s="1">
        <f t="shared" si="16"/>
        <v>247005</v>
      </c>
      <c r="O142" s="4">
        <f t="shared" si="17"/>
        <v>0.25</v>
      </c>
      <c r="P142" s="1" t="s">
        <v>28</v>
      </c>
      <c r="Q142" s="1" t="s">
        <v>29</v>
      </c>
      <c r="R142" s="1">
        <f t="shared" si="18"/>
        <v>1086822</v>
      </c>
      <c r="S142" s="1">
        <v>988020</v>
      </c>
      <c r="T142" s="5">
        <f t="shared" si="19"/>
        <v>0.90909090909090906</v>
      </c>
      <c r="U142" s="4">
        <f t="shared" si="20"/>
        <v>4.5265566439693401E-7</v>
      </c>
    </row>
    <row r="143" spans="1:21" x14ac:dyDescent="0.3">
      <c r="A143" s="3">
        <v>45433</v>
      </c>
      <c r="B143" s="1" t="s">
        <v>79</v>
      </c>
      <c r="C143" s="1" t="s">
        <v>77</v>
      </c>
      <c r="D143" s="1">
        <v>2024</v>
      </c>
      <c r="E143" s="1" t="s">
        <v>48</v>
      </c>
      <c r="F143" s="1" t="s">
        <v>68</v>
      </c>
      <c r="G143" s="1" t="s">
        <v>73</v>
      </c>
      <c r="H143" s="1" t="s">
        <v>41</v>
      </c>
      <c r="I143" s="1" t="s">
        <v>42</v>
      </c>
      <c r="J143" s="1">
        <v>25</v>
      </c>
      <c r="K143" s="1">
        <v>17675</v>
      </c>
      <c r="L143" s="1">
        <f t="shared" si="14"/>
        <v>441875</v>
      </c>
      <c r="M143" s="1">
        <f t="shared" si="15"/>
        <v>331406.25</v>
      </c>
      <c r="N143" s="1">
        <f t="shared" si="16"/>
        <v>110468.75</v>
      </c>
      <c r="O143" s="4">
        <f t="shared" si="17"/>
        <v>0.25</v>
      </c>
      <c r="P143" s="1" t="s">
        <v>28</v>
      </c>
      <c r="Q143" s="1" t="s">
        <v>47</v>
      </c>
      <c r="R143" s="1">
        <f t="shared" si="18"/>
        <v>486062.50000000006</v>
      </c>
      <c r="S143" s="1">
        <v>441875</v>
      </c>
      <c r="T143" s="5">
        <f t="shared" si="19"/>
        <v>0.90909090909090895</v>
      </c>
      <c r="U143" s="4">
        <f t="shared" si="20"/>
        <v>6.5358874380062781E-6</v>
      </c>
    </row>
    <row r="144" spans="1:21" x14ac:dyDescent="0.3">
      <c r="A144" s="3">
        <v>45434</v>
      </c>
      <c r="B144" s="1" t="s">
        <v>79</v>
      </c>
      <c r="C144" s="1" t="s">
        <v>77</v>
      </c>
      <c r="D144" s="1">
        <v>2024</v>
      </c>
      <c r="E144" s="1" t="s">
        <v>61</v>
      </c>
      <c r="F144" s="1" t="s">
        <v>62</v>
      </c>
      <c r="G144" s="1" t="s">
        <v>32</v>
      </c>
      <c r="H144" s="1" t="s">
        <v>41</v>
      </c>
      <c r="I144" s="1" t="s">
        <v>60</v>
      </c>
      <c r="J144" s="1">
        <v>27</v>
      </c>
      <c r="K144" s="1">
        <v>47265</v>
      </c>
      <c r="L144" s="1">
        <f t="shared" si="14"/>
        <v>1276155</v>
      </c>
      <c r="M144" s="1">
        <f t="shared" si="15"/>
        <v>957116.25</v>
      </c>
      <c r="N144" s="1">
        <f t="shared" si="16"/>
        <v>319038.75</v>
      </c>
      <c r="O144" s="4">
        <f t="shared" si="17"/>
        <v>0.25</v>
      </c>
      <c r="P144" s="1" t="s">
        <v>28</v>
      </c>
      <c r="Q144" s="1" t="s">
        <v>29</v>
      </c>
      <c r="R144" s="1">
        <f t="shared" si="18"/>
        <v>1403770.5</v>
      </c>
      <c r="S144" s="1">
        <v>1276155</v>
      </c>
      <c r="T144" s="5">
        <f t="shared" si="19"/>
        <v>0.90909090909090906</v>
      </c>
      <c r="U144" s="4">
        <f t="shared" si="20"/>
        <v>3.4299996725929915E-8</v>
      </c>
    </row>
    <row r="145" spans="1:21" x14ac:dyDescent="0.3">
      <c r="A145" s="3">
        <v>45435</v>
      </c>
      <c r="B145" s="1" t="s">
        <v>79</v>
      </c>
      <c r="C145" s="1" t="s">
        <v>77</v>
      </c>
      <c r="D145" s="1">
        <v>2024</v>
      </c>
      <c r="E145" s="1" t="s">
        <v>23</v>
      </c>
      <c r="F145" s="1" t="s">
        <v>43</v>
      </c>
      <c r="G145" s="1" t="s">
        <v>73</v>
      </c>
      <c r="H145" s="1" t="s">
        <v>41</v>
      </c>
      <c r="I145" s="1" t="s">
        <v>46</v>
      </c>
      <c r="J145" s="1">
        <v>15</v>
      </c>
      <c r="K145" s="1">
        <v>3724</v>
      </c>
      <c r="L145" s="1">
        <f t="shared" si="14"/>
        <v>55860</v>
      </c>
      <c r="M145" s="1">
        <f t="shared" si="15"/>
        <v>41895</v>
      </c>
      <c r="N145" s="1">
        <f t="shared" si="16"/>
        <v>13965</v>
      </c>
      <c r="O145" s="4">
        <f t="shared" si="17"/>
        <v>0.25</v>
      </c>
      <c r="P145" s="1" t="s">
        <v>28</v>
      </c>
      <c r="Q145" s="1" t="s">
        <v>29</v>
      </c>
      <c r="R145" s="1">
        <f t="shared" si="18"/>
        <v>61446.000000000007</v>
      </c>
      <c r="S145" s="1">
        <v>55860</v>
      </c>
      <c r="T145" s="5">
        <f t="shared" si="19"/>
        <v>0.90909090909090895</v>
      </c>
      <c r="U145" s="4">
        <f t="shared" si="20"/>
        <v>3.9546336559007874E-5</v>
      </c>
    </row>
    <row r="146" spans="1:21" x14ac:dyDescent="0.3">
      <c r="A146" s="3">
        <v>45436</v>
      </c>
      <c r="B146" s="1" t="s">
        <v>79</v>
      </c>
      <c r="C146" s="1" t="s">
        <v>77</v>
      </c>
      <c r="D146" s="1">
        <v>2024</v>
      </c>
      <c r="E146" s="1" t="s">
        <v>61</v>
      </c>
      <c r="F146" s="1" t="s">
        <v>67</v>
      </c>
      <c r="G146" s="1" t="s">
        <v>53</v>
      </c>
      <c r="H146" s="1" t="s">
        <v>41</v>
      </c>
      <c r="I146" s="1" t="s">
        <v>60</v>
      </c>
      <c r="J146" s="1">
        <v>22</v>
      </c>
      <c r="K146" s="1">
        <v>5609</v>
      </c>
      <c r="L146" s="1">
        <f t="shared" si="14"/>
        <v>123398</v>
      </c>
      <c r="M146" s="1">
        <f t="shared" si="15"/>
        <v>92548.5</v>
      </c>
      <c r="N146" s="1">
        <f t="shared" si="16"/>
        <v>30849.5</v>
      </c>
      <c r="O146" s="4">
        <f t="shared" si="17"/>
        <v>0.25</v>
      </c>
      <c r="P146" s="1" t="s">
        <v>38</v>
      </c>
      <c r="Q146" s="1" t="s">
        <v>47</v>
      </c>
      <c r="R146" s="1">
        <f t="shared" si="18"/>
        <v>135737.80000000002</v>
      </c>
      <c r="S146" s="1">
        <v>123398</v>
      </c>
      <c r="T146" s="5">
        <f t="shared" si="19"/>
        <v>0.90909090909090895</v>
      </c>
      <c r="U146" s="4">
        <f t="shared" si="20"/>
        <v>1.2574647993240603E-4</v>
      </c>
    </row>
    <row r="147" spans="1:21" x14ac:dyDescent="0.3">
      <c r="A147" s="3">
        <v>45437</v>
      </c>
      <c r="B147" s="1" t="s">
        <v>79</v>
      </c>
      <c r="C147" s="1" t="s">
        <v>77</v>
      </c>
      <c r="D147" s="1">
        <v>2024</v>
      </c>
      <c r="E147" s="1" t="s">
        <v>61</v>
      </c>
      <c r="F147" s="1" t="s">
        <v>62</v>
      </c>
      <c r="G147" s="1" t="s">
        <v>44</v>
      </c>
      <c r="H147" s="1" t="s">
        <v>33</v>
      </c>
      <c r="I147" s="1" t="s">
        <v>34</v>
      </c>
      <c r="J147" s="1">
        <v>46</v>
      </c>
      <c r="K147" s="1">
        <v>41625</v>
      </c>
      <c r="L147" s="1">
        <f t="shared" si="14"/>
        <v>1914750</v>
      </c>
      <c r="M147" s="1">
        <f t="shared" si="15"/>
        <v>1436062.5</v>
      </c>
      <c r="N147" s="1">
        <f t="shared" si="16"/>
        <v>478687.5</v>
      </c>
      <c r="O147" s="4">
        <f t="shared" si="17"/>
        <v>0.25</v>
      </c>
      <c r="P147" s="1" t="s">
        <v>28</v>
      </c>
      <c r="Q147" s="1" t="s">
        <v>29</v>
      </c>
      <c r="R147" s="1">
        <f t="shared" si="18"/>
        <v>2106225</v>
      </c>
      <c r="S147" s="1">
        <v>1914750</v>
      </c>
      <c r="T147" s="5">
        <f t="shared" si="19"/>
        <v>0.90909090909090906</v>
      </c>
      <c r="U147" s="4">
        <f t="shared" si="20"/>
        <v>1.8547009687866993E-7</v>
      </c>
    </row>
    <row r="148" spans="1:21" x14ac:dyDescent="0.3">
      <c r="A148" s="3">
        <v>45438</v>
      </c>
      <c r="B148" s="1" t="s">
        <v>79</v>
      </c>
      <c r="C148" s="1" t="s">
        <v>77</v>
      </c>
      <c r="D148" s="1">
        <v>2024</v>
      </c>
      <c r="E148" s="1" t="s">
        <v>30</v>
      </c>
      <c r="F148" s="1" t="s">
        <v>31</v>
      </c>
      <c r="G148" s="1" t="s">
        <v>73</v>
      </c>
      <c r="H148" s="1" t="s">
        <v>41</v>
      </c>
      <c r="I148" s="1" t="s">
        <v>42</v>
      </c>
      <c r="J148" s="1">
        <v>17</v>
      </c>
      <c r="K148" s="1">
        <v>39999</v>
      </c>
      <c r="L148" s="1">
        <f t="shared" si="14"/>
        <v>679983</v>
      </c>
      <c r="M148" s="1">
        <f t="shared" si="15"/>
        <v>509987.25</v>
      </c>
      <c r="N148" s="1">
        <f t="shared" si="16"/>
        <v>169995.75</v>
      </c>
      <c r="O148" s="4">
        <f t="shared" si="17"/>
        <v>0.25</v>
      </c>
      <c r="P148" s="1" t="s">
        <v>38</v>
      </c>
      <c r="Q148" s="1" t="s">
        <v>29</v>
      </c>
      <c r="R148" s="1">
        <f t="shared" si="18"/>
        <v>747981.3</v>
      </c>
      <c r="S148" s="1">
        <v>679983</v>
      </c>
      <c r="T148" s="5">
        <f t="shared" si="19"/>
        <v>0.90909090909090906</v>
      </c>
      <c r="U148" s="4">
        <f t="shared" si="20"/>
        <v>3.5437520123753934E-6</v>
      </c>
    </row>
    <row r="149" spans="1:21" x14ac:dyDescent="0.3">
      <c r="A149" s="3">
        <v>45439</v>
      </c>
      <c r="B149" s="1" t="s">
        <v>79</v>
      </c>
      <c r="C149" s="1" t="s">
        <v>77</v>
      </c>
      <c r="D149" s="1">
        <v>2024</v>
      </c>
      <c r="E149" s="1" t="s">
        <v>23</v>
      </c>
      <c r="F149" s="1" t="s">
        <v>24</v>
      </c>
      <c r="G149" s="1" t="s">
        <v>57</v>
      </c>
      <c r="H149" s="1" t="s">
        <v>41</v>
      </c>
      <c r="I149" s="1" t="s">
        <v>46</v>
      </c>
      <c r="J149" s="1">
        <v>33</v>
      </c>
      <c r="K149" s="1">
        <v>49653</v>
      </c>
      <c r="L149" s="1">
        <f t="shared" si="14"/>
        <v>1638549</v>
      </c>
      <c r="M149" s="1">
        <f t="shared" si="15"/>
        <v>1228911.75</v>
      </c>
      <c r="N149" s="1">
        <f t="shared" si="16"/>
        <v>409637.25</v>
      </c>
      <c r="O149" s="4">
        <f t="shared" si="17"/>
        <v>0.25</v>
      </c>
      <c r="P149" s="1" t="s">
        <v>28</v>
      </c>
      <c r="Q149" s="1" t="s">
        <v>29</v>
      </c>
      <c r="R149" s="1">
        <f t="shared" si="18"/>
        <v>1802403.9000000001</v>
      </c>
      <c r="S149" s="1">
        <v>1638549</v>
      </c>
      <c r="T149" s="5">
        <f t="shared" si="19"/>
        <v>0.90909090909090906</v>
      </c>
      <c r="U149" s="4">
        <f t="shared" si="20"/>
        <v>4.845434480156946E-7</v>
      </c>
    </row>
    <row r="150" spans="1:21" x14ac:dyDescent="0.3">
      <c r="A150" s="3">
        <v>45440</v>
      </c>
      <c r="B150" s="1" t="s">
        <v>79</v>
      </c>
      <c r="C150" s="1" t="s">
        <v>77</v>
      </c>
      <c r="D150" s="1">
        <v>2024</v>
      </c>
      <c r="E150" s="1" t="s">
        <v>48</v>
      </c>
      <c r="F150" s="1" t="s">
        <v>49</v>
      </c>
      <c r="G150" s="1" t="s">
        <v>71</v>
      </c>
      <c r="H150" s="1" t="s">
        <v>33</v>
      </c>
      <c r="I150" s="1" t="s">
        <v>34</v>
      </c>
      <c r="J150" s="1">
        <v>39</v>
      </c>
      <c r="K150" s="1">
        <v>33357</v>
      </c>
      <c r="L150" s="1">
        <f t="shared" si="14"/>
        <v>1300923</v>
      </c>
      <c r="M150" s="1">
        <f t="shared" si="15"/>
        <v>975692.25</v>
      </c>
      <c r="N150" s="1">
        <f t="shared" si="16"/>
        <v>325230.75</v>
      </c>
      <c r="O150" s="4">
        <f t="shared" si="17"/>
        <v>0.25</v>
      </c>
      <c r="P150" s="1" t="s">
        <v>38</v>
      </c>
      <c r="Q150" s="1" t="s">
        <v>29</v>
      </c>
      <c r="R150" s="1">
        <f t="shared" si="18"/>
        <v>1431015.3</v>
      </c>
      <c r="S150" s="1">
        <v>1300923</v>
      </c>
      <c r="T150" s="5">
        <f t="shared" si="19"/>
        <v>0.90909090909090906</v>
      </c>
      <c r="U150" s="4">
        <f t="shared" si="20"/>
        <v>2.1369939770926809E-7</v>
      </c>
    </row>
    <row r="151" spans="1:21" x14ac:dyDescent="0.3">
      <c r="A151" s="3">
        <v>45441</v>
      </c>
      <c r="B151" s="1" t="s">
        <v>79</v>
      </c>
      <c r="C151" s="1" t="s">
        <v>77</v>
      </c>
      <c r="D151" s="1">
        <v>2024</v>
      </c>
      <c r="E151" s="1" t="s">
        <v>61</v>
      </c>
      <c r="F151" s="1" t="s">
        <v>66</v>
      </c>
      <c r="G151" s="1" t="s">
        <v>73</v>
      </c>
      <c r="H151" s="1" t="s">
        <v>36</v>
      </c>
      <c r="I151" s="1" t="s">
        <v>69</v>
      </c>
      <c r="J151" s="1">
        <v>9</v>
      </c>
      <c r="K151" s="1">
        <v>40185</v>
      </c>
      <c r="L151" s="1">
        <f t="shared" si="14"/>
        <v>361665</v>
      </c>
      <c r="M151" s="1">
        <f t="shared" si="15"/>
        <v>271248.75</v>
      </c>
      <c r="N151" s="1">
        <f t="shared" si="16"/>
        <v>90416.25</v>
      </c>
      <c r="O151" s="4">
        <f t="shared" si="17"/>
        <v>0.25</v>
      </c>
      <c r="P151" s="1" t="s">
        <v>28</v>
      </c>
      <c r="Q151" s="1" t="s">
        <v>47</v>
      </c>
      <c r="R151" s="1">
        <f t="shared" si="18"/>
        <v>397831.50000000006</v>
      </c>
      <c r="S151" s="1">
        <v>361665</v>
      </c>
      <c r="T151" s="5">
        <f t="shared" si="19"/>
        <v>0.90909090909090895</v>
      </c>
      <c r="U151" s="4">
        <f t="shared" si="20"/>
        <v>1.804886562020069E-6</v>
      </c>
    </row>
    <row r="152" spans="1:21" x14ac:dyDescent="0.3">
      <c r="A152" s="3">
        <v>45442</v>
      </c>
      <c r="B152" s="1" t="s">
        <v>79</v>
      </c>
      <c r="C152" s="1" t="s">
        <v>77</v>
      </c>
      <c r="D152" s="1">
        <v>2024</v>
      </c>
      <c r="E152" s="1" t="s">
        <v>48</v>
      </c>
      <c r="F152" s="1" t="s">
        <v>49</v>
      </c>
      <c r="G152" s="1" t="s">
        <v>40</v>
      </c>
      <c r="H152" s="1" t="s">
        <v>33</v>
      </c>
      <c r="I152" s="1" t="s">
        <v>55</v>
      </c>
      <c r="J152" s="1">
        <v>7</v>
      </c>
      <c r="K152" s="1">
        <v>33726</v>
      </c>
      <c r="L152" s="1">
        <f t="shared" si="14"/>
        <v>236082</v>
      </c>
      <c r="M152" s="1">
        <f t="shared" si="15"/>
        <v>177061.5</v>
      </c>
      <c r="N152" s="1">
        <f t="shared" si="16"/>
        <v>59020.5</v>
      </c>
      <c r="O152" s="4">
        <f t="shared" si="17"/>
        <v>0.25</v>
      </c>
      <c r="P152" s="1" t="s">
        <v>38</v>
      </c>
      <c r="Q152" s="1" t="s">
        <v>47</v>
      </c>
      <c r="R152" s="1">
        <f t="shared" si="18"/>
        <v>259690.2</v>
      </c>
      <c r="S152" s="1">
        <v>236082</v>
      </c>
      <c r="T152" s="5">
        <f t="shared" si="19"/>
        <v>0.90909090909090906</v>
      </c>
      <c r="U152" s="4">
        <f t="shared" si="20"/>
        <v>1.1686864281499092E-5</v>
      </c>
    </row>
    <row r="153" spans="1:21" x14ac:dyDescent="0.3">
      <c r="A153" s="3">
        <v>45443</v>
      </c>
      <c r="B153" s="1" t="s">
        <v>79</v>
      </c>
      <c r="C153" s="1" t="s">
        <v>77</v>
      </c>
      <c r="D153" s="1">
        <v>2024</v>
      </c>
      <c r="E153" s="1" t="s">
        <v>30</v>
      </c>
      <c r="F153" s="1" t="s">
        <v>39</v>
      </c>
      <c r="G153" s="1" t="s">
        <v>53</v>
      </c>
      <c r="H153" s="1" t="s">
        <v>41</v>
      </c>
      <c r="I153" s="1" t="s">
        <v>46</v>
      </c>
      <c r="J153" s="1">
        <v>14</v>
      </c>
      <c r="K153" s="1">
        <v>46526</v>
      </c>
      <c r="L153" s="1">
        <f t="shared" si="14"/>
        <v>651364</v>
      </c>
      <c r="M153" s="1">
        <f t="shared" si="15"/>
        <v>488523</v>
      </c>
      <c r="N153" s="1">
        <f t="shared" si="16"/>
        <v>162841</v>
      </c>
      <c r="O153" s="4">
        <f t="shared" si="17"/>
        <v>0.25</v>
      </c>
      <c r="P153" s="1" t="s">
        <v>38</v>
      </c>
      <c r="Q153" s="1" t="s">
        <v>29</v>
      </c>
      <c r="R153" s="1">
        <f t="shared" si="18"/>
        <v>716500.4</v>
      </c>
      <c r="S153" s="1">
        <v>651364</v>
      </c>
      <c r="T153" s="5">
        <f t="shared" si="19"/>
        <v>0.90909090909090906</v>
      </c>
      <c r="U153" s="4">
        <f t="shared" si="20"/>
        <v>4.4801124953653045E-7</v>
      </c>
    </row>
    <row r="154" spans="1:21" x14ac:dyDescent="0.3">
      <c r="A154" s="3">
        <v>45444</v>
      </c>
      <c r="B154" s="1" t="s">
        <v>80</v>
      </c>
      <c r="C154" s="1" t="s">
        <v>77</v>
      </c>
      <c r="D154" s="1">
        <v>2024</v>
      </c>
      <c r="E154" s="1" t="s">
        <v>30</v>
      </c>
      <c r="F154" s="1" t="s">
        <v>31</v>
      </c>
      <c r="G154" s="1" t="s">
        <v>73</v>
      </c>
      <c r="H154" s="1" t="s">
        <v>36</v>
      </c>
      <c r="I154" s="1" t="s">
        <v>69</v>
      </c>
      <c r="J154" s="1">
        <v>36</v>
      </c>
      <c r="K154" s="1">
        <v>5280</v>
      </c>
      <c r="L154" s="1">
        <f t="shared" si="14"/>
        <v>190080</v>
      </c>
      <c r="M154" s="1">
        <f t="shared" si="15"/>
        <v>142560</v>
      </c>
      <c r="N154" s="1">
        <f t="shared" si="16"/>
        <v>47520</v>
      </c>
      <c r="O154" s="4">
        <f t="shared" si="17"/>
        <v>0.25</v>
      </c>
      <c r="P154" s="1" t="s">
        <v>28</v>
      </c>
      <c r="Q154" s="1" t="s">
        <v>29</v>
      </c>
      <c r="R154" s="1">
        <f t="shared" si="18"/>
        <v>209088.00000000003</v>
      </c>
      <c r="S154" s="1">
        <v>190080</v>
      </c>
      <c r="T154" s="5">
        <f t="shared" si="19"/>
        <v>0.90909090909090895</v>
      </c>
      <c r="U154" s="4">
        <f t="shared" si="20"/>
        <v>5.0157836032533534E-5</v>
      </c>
    </row>
    <row r="155" spans="1:21" x14ac:dyDescent="0.3">
      <c r="A155" s="3">
        <v>45445</v>
      </c>
      <c r="B155" s="1" t="s">
        <v>80</v>
      </c>
      <c r="C155" s="1" t="s">
        <v>77</v>
      </c>
      <c r="D155" s="1">
        <v>2024</v>
      </c>
      <c r="E155" s="1" t="s">
        <v>48</v>
      </c>
      <c r="F155" s="1" t="s">
        <v>49</v>
      </c>
      <c r="G155" s="1" t="s">
        <v>44</v>
      </c>
      <c r="H155" s="1" t="s">
        <v>36</v>
      </c>
      <c r="I155" s="1" t="s">
        <v>69</v>
      </c>
      <c r="J155" s="1">
        <v>37</v>
      </c>
      <c r="K155" s="1">
        <v>48979</v>
      </c>
      <c r="L155" s="1">
        <f t="shared" si="14"/>
        <v>1812223</v>
      </c>
      <c r="M155" s="1">
        <f t="shared" si="15"/>
        <v>1359167.25</v>
      </c>
      <c r="N155" s="1">
        <f t="shared" si="16"/>
        <v>453055.75</v>
      </c>
      <c r="O155" s="4">
        <f t="shared" si="17"/>
        <v>0.25</v>
      </c>
      <c r="P155" s="1" t="s">
        <v>28</v>
      </c>
      <c r="Q155" s="1" t="s">
        <v>29</v>
      </c>
      <c r="R155" s="1">
        <f t="shared" si="18"/>
        <v>1993445.3</v>
      </c>
      <c r="S155" s="1">
        <v>1812223</v>
      </c>
      <c r="T155" s="5">
        <f t="shared" si="19"/>
        <v>0.90909090909090906</v>
      </c>
      <c r="U155" s="4">
        <f t="shared" si="20"/>
        <v>5.9029481002110087E-7</v>
      </c>
    </row>
    <row r="156" spans="1:21" x14ac:dyDescent="0.3">
      <c r="A156" s="3">
        <v>45446</v>
      </c>
      <c r="B156" s="1" t="s">
        <v>80</v>
      </c>
      <c r="C156" s="1" t="s">
        <v>77</v>
      </c>
      <c r="D156" s="1">
        <v>2024</v>
      </c>
      <c r="E156" s="1" t="s">
        <v>50</v>
      </c>
      <c r="F156" s="1" t="s">
        <v>51</v>
      </c>
      <c r="G156" s="1" t="s">
        <v>59</v>
      </c>
      <c r="H156" s="1" t="s">
        <v>36</v>
      </c>
      <c r="I156" s="1" t="s">
        <v>37</v>
      </c>
      <c r="J156" s="1">
        <v>33</v>
      </c>
      <c r="K156" s="1">
        <v>58746</v>
      </c>
      <c r="L156" s="1">
        <f t="shared" si="14"/>
        <v>1938618</v>
      </c>
      <c r="M156" s="1">
        <f t="shared" si="15"/>
        <v>1453963.5</v>
      </c>
      <c r="N156" s="1">
        <f t="shared" si="16"/>
        <v>484654.5</v>
      </c>
      <c r="O156" s="4">
        <f t="shared" si="17"/>
        <v>0.25</v>
      </c>
      <c r="P156" s="1" t="s">
        <v>38</v>
      </c>
      <c r="Q156" s="1" t="s">
        <v>29</v>
      </c>
      <c r="R156" s="1">
        <f t="shared" si="18"/>
        <v>2132479.8000000003</v>
      </c>
      <c r="S156" s="1">
        <v>1938618</v>
      </c>
      <c r="T156" s="5">
        <f t="shared" si="19"/>
        <v>0.90909090909090895</v>
      </c>
      <c r="U156" s="4">
        <f t="shared" si="20"/>
        <v>1.8212249498288161E-7</v>
      </c>
    </row>
    <row r="157" spans="1:21" x14ac:dyDescent="0.3">
      <c r="A157" s="3">
        <v>45447</v>
      </c>
      <c r="B157" s="1" t="s">
        <v>80</v>
      </c>
      <c r="C157" s="1" t="s">
        <v>77</v>
      </c>
      <c r="D157" s="1">
        <v>2024</v>
      </c>
      <c r="E157" s="1" t="s">
        <v>23</v>
      </c>
      <c r="F157" s="1" t="s">
        <v>24</v>
      </c>
      <c r="G157" s="1" t="s">
        <v>40</v>
      </c>
      <c r="H157" s="1" t="s">
        <v>41</v>
      </c>
      <c r="I157" s="1" t="s">
        <v>46</v>
      </c>
      <c r="J157" s="1">
        <v>20</v>
      </c>
      <c r="K157" s="1">
        <v>34223</v>
      </c>
      <c r="L157" s="1">
        <f t="shared" si="14"/>
        <v>684460</v>
      </c>
      <c r="M157" s="1">
        <f t="shared" si="15"/>
        <v>513345</v>
      </c>
      <c r="N157" s="1">
        <f t="shared" si="16"/>
        <v>171115</v>
      </c>
      <c r="O157" s="4">
        <f t="shared" si="17"/>
        <v>0.25</v>
      </c>
      <c r="P157" s="1" t="s">
        <v>28</v>
      </c>
      <c r="Q157" s="1" t="s">
        <v>29</v>
      </c>
      <c r="R157" s="1">
        <f t="shared" si="18"/>
        <v>752906.00000000012</v>
      </c>
      <c r="S157" s="1">
        <v>684460</v>
      </c>
      <c r="T157" s="5">
        <f t="shared" si="19"/>
        <v>0.90909090909090895</v>
      </c>
      <c r="U157" s="4">
        <f t="shared" si="20"/>
        <v>8.4701449055503691E-7</v>
      </c>
    </row>
    <row r="158" spans="1:21" x14ac:dyDescent="0.3">
      <c r="A158" s="3">
        <v>45448</v>
      </c>
      <c r="B158" s="1" t="s">
        <v>80</v>
      </c>
      <c r="C158" s="1" t="s">
        <v>77</v>
      </c>
      <c r="D158" s="1">
        <v>2024</v>
      </c>
      <c r="E158" s="1" t="s">
        <v>50</v>
      </c>
      <c r="F158" s="1" t="s">
        <v>72</v>
      </c>
      <c r="G158" s="1" t="s">
        <v>40</v>
      </c>
      <c r="H158" s="1" t="s">
        <v>33</v>
      </c>
      <c r="I158" s="1" t="s">
        <v>55</v>
      </c>
      <c r="J158" s="1">
        <v>34</v>
      </c>
      <c r="K158" s="1">
        <v>11671</v>
      </c>
      <c r="L158" s="1">
        <f t="shared" si="14"/>
        <v>396814</v>
      </c>
      <c r="M158" s="1">
        <f t="shared" si="15"/>
        <v>297610.5</v>
      </c>
      <c r="N158" s="1">
        <f t="shared" si="16"/>
        <v>99203.5</v>
      </c>
      <c r="O158" s="4">
        <f t="shared" si="17"/>
        <v>0.25</v>
      </c>
      <c r="P158" s="1" t="s">
        <v>38</v>
      </c>
      <c r="Q158" s="1" t="s">
        <v>29</v>
      </c>
      <c r="R158" s="1">
        <f t="shared" si="18"/>
        <v>436495.4</v>
      </c>
      <c r="S158" s="1">
        <v>396814</v>
      </c>
      <c r="T158" s="5">
        <f t="shared" si="19"/>
        <v>0.90909090909090906</v>
      </c>
      <c r="U158" s="4">
        <f t="shared" si="20"/>
        <v>5.4828692674882426E-6</v>
      </c>
    </row>
    <row r="159" spans="1:21" x14ac:dyDescent="0.3">
      <c r="A159" s="3">
        <v>45449</v>
      </c>
      <c r="B159" s="1" t="s">
        <v>80</v>
      </c>
      <c r="C159" s="1" t="s">
        <v>77</v>
      </c>
      <c r="D159" s="1">
        <v>2024</v>
      </c>
      <c r="E159" s="1" t="s">
        <v>23</v>
      </c>
      <c r="F159" s="1" t="s">
        <v>63</v>
      </c>
      <c r="G159" s="1" t="s">
        <v>44</v>
      </c>
      <c r="H159" s="1" t="s">
        <v>41</v>
      </c>
      <c r="I159" s="1" t="s">
        <v>42</v>
      </c>
      <c r="J159" s="1">
        <v>15</v>
      </c>
      <c r="K159" s="1">
        <v>57556</v>
      </c>
      <c r="L159" s="1">
        <f t="shared" si="14"/>
        <v>863340</v>
      </c>
      <c r="M159" s="1">
        <f t="shared" si="15"/>
        <v>647505</v>
      </c>
      <c r="N159" s="1">
        <f t="shared" si="16"/>
        <v>215835</v>
      </c>
      <c r="O159" s="4">
        <f t="shared" si="17"/>
        <v>0.25</v>
      </c>
      <c r="P159" s="1" t="s">
        <v>38</v>
      </c>
      <c r="Q159" s="1" t="s">
        <v>47</v>
      </c>
      <c r="R159" s="1">
        <f t="shared" si="18"/>
        <v>949674.00000000012</v>
      </c>
      <c r="S159" s="1">
        <v>863340</v>
      </c>
      <c r="T159" s="5">
        <f t="shared" si="19"/>
        <v>0.90909090909090895</v>
      </c>
      <c r="U159" s="4">
        <f t="shared" si="20"/>
        <v>3.0498850688998235E-7</v>
      </c>
    </row>
    <row r="160" spans="1:21" x14ac:dyDescent="0.3">
      <c r="A160" s="3">
        <v>45450</v>
      </c>
      <c r="B160" s="1" t="s">
        <v>80</v>
      </c>
      <c r="C160" s="1" t="s">
        <v>77</v>
      </c>
      <c r="D160" s="1">
        <v>2024</v>
      </c>
      <c r="E160" s="1" t="s">
        <v>23</v>
      </c>
      <c r="F160" s="1" t="s">
        <v>43</v>
      </c>
      <c r="G160" s="1" t="s">
        <v>44</v>
      </c>
      <c r="H160" s="1" t="s">
        <v>36</v>
      </c>
      <c r="I160" s="1" t="s">
        <v>52</v>
      </c>
      <c r="J160" s="1">
        <v>5</v>
      </c>
      <c r="K160" s="1">
        <v>45465</v>
      </c>
      <c r="L160" s="1">
        <f t="shared" si="14"/>
        <v>227325</v>
      </c>
      <c r="M160" s="1">
        <f t="shared" si="15"/>
        <v>170493.75</v>
      </c>
      <c r="N160" s="1">
        <f t="shared" si="16"/>
        <v>56831.25</v>
      </c>
      <c r="O160" s="4">
        <f t="shared" si="17"/>
        <v>0.25</v>
      </c>
      <c r="P160" s="1" t="s">
        <v>38</v>
      </c>
      <c r="Q160" s="1" t="s">
        <v>47</v>
      </c>
      <c r="R160" s="1">
        <f t="shared" si="18"/>
        <v>250057.50000000003</v>
      </c>
      <c r="S160" s="1">
        <v>227325</v>
      </c>
      <c r="T160" s="5">
        <f t="shared" si="19"/>
        <v>0.90909090909090895</v>
      </c>
      <c r="U160" s="4">
        <f t="shared" si="20"/>
        <v>1.3118108975923111E-5</v>
      </c>
    </row>
    <row r="161" spans="1:21" x14ac:dyDescent="0.3">
      <c r="A161" s="3">
        <v>45451</v>
      </c>
      <c r="B161" s="1" t="s">
        <v>80</v>
      </c>
      <c r="C161" s="1" t="s">
        <v>77</v>
      </c>
      <c r="D161" s="1">
        <v>2024</v>
      </c>
      <c r="E161" s="1" t="s">
        <v>61</v>
      </c>
      <c r="F161" s="1" t="s">
        <v>67</v>
      </c>
      <c r="G161" s="1" t="s">
        <v>71</v>
      </c>
      <c r="H161" s="1" t="s">
        <v>33</v>
      </c>
      <c r="I161" s="1" t="s">
        <v>45</v>
      </c>
      <c r="J161" s="1">
        <v>25</v>
      </c>
      <c r="K161" s="1">
        <v>27116</v>
      </c>
      <c r="L161" s="1">
        <f t="shared" si="14"/>
        <v>677900</v>
      </c>
      <c r="M161" s="1">
        <f t="shared" si="15"/>
        <v>508425</v>
      </c>
      <c r="N161" s="1">
        <f t="shared" si="16"/>
        <v>169475</v>
      </c>
      <c r="O161" s="4">
        <f t="shared" si="17"/>
        <v>0.25</v>
      </c>
      <c r="P161" s="1" t="s">
        <v>28</v>
      </c>
      <c r="Q161" s="1" t="s">
        <v>29</v>
      </c>
      <c r="R161" s="1">
        <f t="shared" si="18"/>
        <v>745690.00000000012</v>
      </c>
      <c r="S161" s="1">
        <v>677900</v>
      </c>
      <c r="T161" s="5">
        <f t="shared" si="19"/>
        <v>0.90909090909090895</v>
      </c>
      <c r="U161" s="4">
        <f t="shared" si="20"/>
        <v>1.2622456902853824E-6</v>
      </c>
    </row>
    <row r="162" spans="1:21" x14ac:dyDescent="0.3">
      <c r="A162" s="3">
        <v>45452</v>
      </c>
      <c r="B162" s="1" t="s">
        <v>80</v>
      </c>
      <c r="C162" s="1" t="s">
        <v>77</v>
      </c>
      <c r="D162" s="1">
        <v>2024</v>
      </c>
      <c r="E162" s="1" t="s">
        <v>23</v>
      </c>
      <c r="F162" s="1" t="s">
        <v>24</v>
      </c>
      <c r="G162" s="1" t="s">
        <v>71</v>
      </c>
      <c r="H162" s="1" t="s">
        <v>36</v>
      </c>
      <c r="I162" s="1" t="s">
        <v>37</v>
      </c>
      <c r="J162" s="1">
        <v>11</v>
      </c>
      <c r="K162" s="1">
        <v>52733</v>
      </c>
      <c r="L162" s="1">
        <f t="shared" si="14"/>
        <v>580063</v>
      </c>
      <c r="M162" s="1">
        <f t="shared" si="15"/>
        <v>435047.25</v>
      </c>
      <c r="N162" s="1">
        <f t="shared" si="16"/>
        <v>145015.75</v>
      </c>
      <c r="O162" s="4">
        <f t="shared" si="17"/>
        <v>0.25</v>
      </c>
      <c r="P162" s="1" t="s">
        <v>38</v>
      </c>
      <c r="Q162" s="1" t="s">
        <v>47</v>
      </c>
      <c r="R162" s="1">
        <f t="shared" si="18"/>
        <v>638069.30000000005</v>
      </c>
      <c r="S162" s="1">
        <v>580063</v>
      </c>
      <c r="T162" s="5">
        <f t="shared" si="19"/>
        <v>0.90909090909090906</v>
      </c>
      <c r="U162" s="4">
        <f t="shared" si="20"/>
        <v>8.3953223440013858E-7</v>
      </c>
    </row>
    <row r="163" spans="1:21" x14ac:dyDescent="0.3">
      <c r="A163" s="3">
        <v>45453</v>
      </c>
      <c r="B163" s="1" t="s">
        <v>80</v>
      </c>
      <c r="C163" s="1" t="s">
        <v>77</v>
      </c>
      <c r="D163" s="1">
        <v>2024</v>
      </c>
      <c r="E163" s="1" t="s">
        <v>61</v>
      </c>
      <c r="F163" s="1" t="s">
        <v>62</v>
      </c>
      <c r="G163" s="1" t="s">
        <v>32</v>
      </c>
      <c r="H163" s="1" t="s">
        <v>41</v>
      </c>
      <c r="I163" s="1" t="s">
        <v>60</v>
      </c>
      <c r="J163" s="1">
        <v>12</v>
      </c>
      <c r="K163" s="1">
        <v>23540</v>
      </c>
      <c r="L163" s="1">
        <f t="shared" si="14"/>
        <v>282480</v>
      </c>
      <c r="M163" s="1">
        <f t="shared" si="15"/>
        <v>211860</v>
      </c>
      <c r="N163" s="1">
        <f t="shared" si="16"/>
        <v>70620</v>
      </c>
      <c r="O163" s="4">
        <f t="shared" si="17"/>
        <v>0.25</v>
      </c>
      <c r="P163" s="1" t="s">
        <v>38</v>
      </c>
      <c r="Q163" s="1" t="s">
        <v>47</v>
      </c>
      <c r="R163" s="1">
        <f t="shared" si="18"/>
        <v>310728</v>
      </c>
      <c r="S163" s="1">
        <v>282480</v>
      </c>
      <c r="T163" s="5">
        <f t="shared" si="19"/>
        <v>0.90909090909090906</v>
      </c>
      <c r="U163" s="4">
        <f t="shared" si="20"/>
        <v>6.4123355855861275E-6</v>
      </c>
    </row>
    <row r="164" spans="1:21" x14ac:dyDescent="0.3">
      <c r="A164" s="3">
        <v>45454</v>
      </c>
      <c r="B164" s="1" t="s">
        <v>80</v>
      </c>
      <c r="C164" s="1" t="s">
        <v>77</v>
      </c>
      <c r="D164" s="1">
        <v>2024</v>
      </c>
      <c r="E164" s="1" t="s">
        <v>50</v>
      </c>
      <c r="F164" s="1" t="s">
        <v>51</v>
      </c>
      <c r="G164" s="1" t="s">
        <v>35</v>
      </c>
      <c r="H164" s="1" t="s">
        <v>26</v>
      </c>
      <c r="I164" s="1" t="s">
        <v>74</v>
      </c>
      <c r="J164" s="1">
        <v>28</v>
      </c>
      <c r="K164" s="1">
        <v>18274</v>
      </c>
      <c r="L164" s="1">
        <f t="shared" si="14"/>
        <v>511672</v>
      </c>
      <c r="M164" s="1">
        <f t="shared" si="15"/>
        <v>383754</v>
      </c>
      <c r="N164" s="1">
        <f t="shared" si="16"/>
        <v>127918</v>
      </c>
      <c r="O164" s="4">
        <f t="shared" si="17"/>
        <v>0.25</v>
      </c>
      <c r="P164" s="1" t="s">
        <v>38</v>
      </c>
      <c r="Q164" s="1" t="s">
        <v>29</v>
      </c>
      <c r="R164" s="1">
        <f t="shared" si="18"/>
        <v>562839.20000000007</v>
      </c>
      <c r="S164" s="1">
        <v>511672</v>
      </c>
      <c r="T164" s="5">
        <f t="shared" si="19"/>
        <v>0.90909090909090895</v>
      </c>
      <c r="U164" s="4">
        <f t="shared" si="20"/>
        <v>1.7567820163259542E-6</v>
      </c>
    </row>
    <row r="165" spans="1:21" x14ac:dyDescent="0.3">
      <c r="A165" s="3">
        <v>45455</v>
      </c>
      <c r="B165" s="1" t="s">
        <v>80</v>
      </c>
      <c r="C165" s="1" t="s">
        <v>77</v>
      </c>
      <c r="D165" s="1">
        <v>2024</v>
      </c>
      <c r="E165" s="1" t="s">
        <v>48</v>
      </c>
      <c r="F165" s="1" t="s">
        <v>68</v>
      </c>
      <c r="G165" s="1" t="s">
        <v>32</v>
      </c>
      <c r="H165" s="1" t="s">
        <v>41</v>
      </c>
      <c r="I165" s="1" t="s">
        <v>46</v>
      </c>
      <c r="J165" s="1">
        <v>29</v>
      </c>
      <c r="K165" s="1">
        <v>15860</v>
      </c>
      <c r="L165" s="1">
        <f t="shared" si="14"/>
        <v>459940</v>
      </c>
      <c r="M165" s="1">
        <f t="shared" si="15"/>
        <v>344955</v>
      </c>
      <c r="N165" s="1">
        <f t="shared" si="16"/>
        <v>114985</v>
      </c>
      <c r="O165" s="4">
        <f t="shared" si="17"/>
        <v>0.25</v>
      </c>
      <c r="P165" s="1" t="s">
        <v>38</v>
      </c>
      <c r="Q165" s="1" t="s">
        <v>29</v>
      </c>
      <c r="R165" s="1">
        <f t="shared" si="18"/>
        <v>505934.00000000006</v>
      </c>
      <c r="S165" s="1">
        <v>459940</v>
      </c>
      <c r="T165" s="5">
        <f t="shared" si="19"/>
        <v>0.90909090909090895</v>
      </c>
      <c r="U165" s="4">
        <f t="shared" si="20"/>
        <v>4.3835253063148266E-6</v>
      </c>
    </row>
    <row r="166" spans="1:21" x14ac:dyDescent="0.3">
      <c r="A166" s="3">
        <v>45456</v>
      </c>
      <c r="B166" s="1" t="s">
        <v>80</v>
      </c>
      <c r="C166" s="1" t="s">
        <v>77</v>
      </c>
      <c r="D166" s="1">
        <v>2024</v>
      </c>
      <c r="E166" s="1" t="s">
        <v>61</v>
      </c>
      <c r="F166" s="1" t="s">
        <v>66</v>
      </c>
      <c r="G166" s="1" t="s">
        <v>57</v>
      </c>
      <c r="H166" s="1" t="s">
        <v>41</v>
      </c>
      <c r="I166" s="1" t="s">
        <v>42</v>
      </c>
      <c r="J166" s="1">
        <v>24</v>
      </c>
      <c r="K166" s="1">
        <v>38638</v>
      </c>
      <c r="L166" s="1">
        <f t="shared" si="14"/>
        <v>927312</v>
      </c>
      <c r="M166" s="1">
        <f t="shared" si="15"/>
        <v>695484</v>
      </c>
      <c r="N166" s="1">
        <f t="shared" si="16"/>
        <v>231828</v>
      </c>
      <c r="O166" s="4">
        <f t="shared" si="17"/>
        <v>0.25</v>
      </c>
      <c r="P166" s="1" t="s">
        <v>38</v>
      </c>
      <c r="Q166" s="1" t="s">
        <v>29</v>
      </c>
      <c r="R166" s="1">
        <f t="shared" si="18"/>
        <v>1020043.2000000001</v>
      </c>
      <c r="S166" s="1">
        <v>927312</v>
      </c>
      <c r="T166" s="5">
        <f t="shared" si="19"/>
        <v>0.90909090909090906</v>
      </c>
      <c r="U166" s="4">
        <f t="shared" si="20"/>
        <v>9.2014543224349766E-7</v>
      </c>
    </row>
    <row r="167" spans="1:21" x14ac:dyDescent="0.3">
      <c r="A167" s="3">
        <v>45457</v>
      </c>
      <c r="B167" s="1" t="s">
        <v>80</v>
      </c>
      <c r="C167" s="1" t="s">
        <v>77</v>
      </c>
      <c r="D167" s="1">
        <v>2024</v>
      </c>
      <c r="E167" s="1" t="s">
        <v>30</v>
      </c>
      <c r="F167" s="1" t="s">
        <v>31</v>
      </c>
      <c r="G167" s="1" t="s">
        <v>71</v>
      </c>
      <c r="H167" s="1" t="s">
        <v>41</v>
      </c>
      <c r="I167" s="1" t="s">
        <v>46</v>
      </c>
      <c r="J167" s="1">
        <v>20</v>
      </c>
      <c r="K167" s="1">
        <v>39562</v>
      </c>
      <c r="L167" s="1">
        <f t="shared" si="14"/>
        <v>791240</v>
      </c>
      <c r="M167" s="1">
        <f t="shared" si="15"/>
        <v>593430</v>
      </c>
      <c r="N167" s="1">
        <f t="shared" si="16"/>
        <v>197810</v>
      </c>
      <c r="O167" s="4">
        <f t="shared" si="17"/>
        <v>0.25</v>
      </c>
      <c r="P167" s="1" t="s">
        <v>28</v>
      </c>
      <c r="Q167" s="1" t="s">
        <v>47</v>
      </c>
      <c r="R167" s="1">
        <f t="shared" si="18"/>
        <v>870364.00000000012</v>
      </c>
      <c r="S167" s="1">
        <v>791240</v>
      </c>
      <c r="T167" s="5">
        <f t="shared" si="19"/>
        <v>0.90909090909090895</v>
      </c>
      <c r="U167" s="4">
        <f t="shared" si="20"/>
        <v>7.2422366196950285E-7</v>
      </c>
    </row>
    <row r="168" spans="1:21" x14ac:dyDescent="0.3">
      <c r="A168" s="3">
        <v>45458</v>
      </c>
      <c r="B168" s="1" t="s">
        <v>80</v>
      </c>
      <c r="C168" s="1" t="s">
        <v>77</v>
      </c>
      <c r="D168" s="1">
        <v>2024</v>
      </c>
      <c r="E168" s="1" t="s">
        <v>48</v>
      </c>
      <c r="F168" s="1" t="s">
        <v>68</v>
      </c>
      <c r="G168" s="1" t="s">
        <v>35</v>
      </c>
      <c r="H168" s="1" t="s">
        <v>36</v>
      </c>
      <c r="I168" s="1" t="s">
        <v>52</v>
      </c>
      <c r="J168" s="1">
        <v>32</v>
      </c>
      <c r="K168" s="1">
        <v>14169</v>
      </c>
      <c r="L168" s="1">
        <f t="shared" si="14"/>
        <v>453408</v>
      </c>
      <c r="M168" s="1">
        <f t="shared" si="15"/>
        <v>340056</v>
      </c>
      <c r="N168" s="1">
        <f t="shared" si="16"/>
        <v>113352</v>
      </c>
      <c r="O168" s="4">
        <f t="shared" si="17"/>
        <v>0.25</v>
      </c>
      <c r="P168" s="1" t="s">
        <v>38</v>
      </c>
      <c r="Q168" s="1" t="s">
        <v>29</v>
      </c>
      <c r="R168" s="1">
        <f t="shared" si="18"/>
        <v>498748.80000000005</v>
      </c>
      <c r="S168" s="1">
        <v>453408</v>
      </c>
      <c r="T168" s="5">
        <f t="shared" si="19"/>
        <v>0.90909090909090906</v>
      </c>
      <c r="U168" s="4">
        <f t="shared" si="20"/>
        <v>1.4012727953076402E-6</v>
      </c>
    </row>
    <row r="169" spans="1:21" x14ac:dyDescent="0.3">
      <c r="A169" s="3">
        <v>45459</v>
      </c>
      <c r="B169" s="1" t="s">
        <v>80</v>
      </c>
      <c r="C169" s="1" t="s">
        <v>77</v>
      </c>
      <c r="D169" s="1">
        <v>2024</v>
      </c>
      <c r="E169" s="1" t="s">
        <v>48</v>
      </c>
      <c r="F169" s="1" t="s">
        <v>65</v>
      </c>
      <c r="G169" s="1" t="s">
        <v>57</v>
      </c>
      <c r="H169" s="1" t="s">
        <v>33</v>
      </c>
      <c r="I169" s="1" t="s">
        <v>34</v>
      </c>
      <c r="J169" s="1">
        <v>18</v>
      </c>
      <c r="K169" s="1">
        <v>16004</v>
      </c>
      <c r="L169" s="1">
        <f t="shared" si="14"/>
        <v>288072</v>
      </c>
      <c r="M169" s="1">
        <f t="shared" si="15"/>
        <v>216054</v>
      </c>
      <c r="N169" s="1">
        <f t="shared" si="16"/>
        <v>72018</v>
      </c>
      <c r="O169" s="4">
        <f t="shared" si="17"/>
        <v>0.25</v>
      </c>
      <c r="P169" s="1" t="s">
        <v>28</v>
      </c>
      <c r="Q169" s="1" t="s">
        <v>47</v>
      </c>
      <c r="R169" s="1">
        <f t="shared" si="18"/>
        <v>316879.2</v>
      </c>
      <c r="S169" s="1">
        <v>288072</v>
      </c>
      <c r="T169" s="5">
        <f t="shared" si="19"/>
        <v>0.90909090909090906</v>
      </c>
      <c r="U169" s="4">
        <f t="shared" si="20"/>
        <v>3.2278177952279714E-6</v>
      </c>
    </row>
    <row r="170" spans="1:21" x14ac:dyDescent="0.3">
      <c r="A170" s="3">
        <v>45460</v>
      </c>
      <c r="B170" s="1" t="s">
        <v>80</v>
      </c>
      <c r="C170" s="1" t="s">
        <v>77</v>
      </c>
      <c r="D170" s="1">
        <v>2024</v>
      </c>
      <c r="E170" s="1" t="s">
        <v>61</v>
      </c>
      <c r="F170" s="1" t="s">
        <v>67</v>
      </c>
      <c r="G170" s="1" t="s">
        <v>40</v>
      </c>
      <c r="H170" s="1" t="s">
        <v>26</v>
      </c>
      <c r="I170" s="1" t="s">
        <v>64</v>
      </c>
      <c r="J170" s="1">
        <v>19</v>
      </c>
      <c r="K170" s="1">
        <v>14098</v>
      </c>
      <c r="L170" s="1">
        <f t="shared" si="14"/>
        <v>267862</v>
      </c>
      <c r="M170" s="1">
        <f t="shared" si="15"/>
        <v>200896.5</v>
      </c>
      <c r="N170" s="1">
        <f t="shared" si="16"/>
        <v>66965.5</v>
      </c>
      <c r="O170" s="4">
        <f t="shared" si="17"/>
        <v>0.25</v>
      </c>
      <c r="P170" s="1" t="s">
        <v>28</v>
      </c>
      <c r="Q170" s="1" t="s">
        <v>47</v>
      </c>
      <c r="R170" s="1">
        <f t="shared" si="18"/>
        <v>294648.2</v>
      </c>
      <c r="S170" s="1">
        <v>267862</v>
      </c>
      <c r="T170" s="5">
        <f t="shared" si="19"/>
        <v>0.90909090909090906</v>
      </c>
      <c r="U170" s="4">
        <f t="shared" si="20"/>
        <v>1.0471351435544771E-6</v>
      </c>
    </row>
    <row r="171" spans="1:21" x14ac:dyDescent="0.3">
      <c r="A171" s="3">
        <v>45461</v>
      </c>
      <c r="B171" s="1" t="s">
        <v>80</v>
      </c>
      <c r="C171" s="1" t="s">
        <v>77</v>
      </c>
      <c r="D171" s="1">
        <v>2024</v>
      </c>
      <c r="E171" s="1" t="s">
        <v>23</v>
      </c>
      <c r="F171" s="1" t="s">
        <v>43</v>
      </c>
      <c r="G171" s="1" t="s">
        <v>44</v>
      </c>
      <c r="H171" s="1" t="s">
        <v>41</v>
      </c>
      <c r="I171" s="1" t="s">
        <v>46</v>
      </c>
      <c r="J171" s="1">
        <v>9</v>
      </c>
      <c r="K171" s="1">
        <v>8348</v>
      </c>
      <c r="L171" s="1">
        <f t="shared" si="14"/>
        <v>75132</v>
      </c>
      <c r="M171" s="1">
        <f t="shared" si="15"/>
        <v>56349</v>
      </c>
      <c r="N171" s="1">
        <f t="shared" si="16"/>
        <v>18783</v>
      </c>
      <c r="O171" s="4">
        <f t="shared" si="17"/>
        <v>0.25</v>
      </c>
      <c r="P171" s="1" t="s">
        <v>28</v>
      </c>
      <c r="Q171" s="1" t="s">
        <v>29</v>
      </c>
      <c r="R171" s="1">
        <f t="shared" si="18"/>
        <v>82645.200000000012</v>
      </c>
      <c r="S171" s="1">
        <v>75132</v>
      </c>
      <c r="T171" s="5">
        <f t="shared" si="19"/>
        <v>0.90909090909090895</v>
      </c>
      <c r="U171" s="4">
        <f t="shared" si="20"/>
        <v>1.2393651511659592E-4</v>
      </c>
    </row>
    <row r="172" spans="1:21" x14ac:dyDescent="0.3">
      <c r="A172" s="3">
        <v>45462</v>
      </c>
      <c r="B172" s="1" t="s">
        <v>80</v>
      </c>
      <c r="C172" s="1" t="s">
        <v>77</v>
      </c>
      <c r="D172" s="1">
        <v>2024</v>
      </c>
      <c r="E172" s="1" t="s">
        <v>30</v>
      </c>
      <c r="F172" s="1" t="s">
        <v>31</v>
      </c>
      <c r="G172" s="1" t="s">
        <v>59</v>
      </c>
      <c r="H172" s="1" t="s">
        <v>33</v>
      </c>
      <c r="I172" s="1" t="s">
        <v>34</v>
      </c>
      <c r="J172" s="1">
        <v>19</v>
      </c>
      <c r="K172" s="1">
        <v>36821</v>
      </c>
      <c r="L172" s="1">
        <f t="shared" si="14"/>
        <v>699599</v>
      </c>
      <c r="M172" s="1">
        <f t="shared" si="15"/>
        <v>524699.25</v>
      </c>
      <c r="N172" s="1">
        <f t="shared" si="16"/>
        <v>174899.75</v>
      </c>
      <c r="O172" s="4">
        <f t="shared" si="17"/>
        <v>0.25</v>
      </c>
      <c r="P172" s="1" t="s">
        <v>28</v>
      </c>
      <c r="Q172" s="1" t="s">
        <v>29</v>
      </c>
      <c r="R172" s="1">
        <f t="shared" si="18"/>
        <v>769558.9</v>
      </c>
      <c r="S172" s="1">
        <v>699599</v>
      </c>
      <c r="T172" s="5">
        <f t="shared" si="19"/>
        <v>0.90909090909090906</v>
      </c>
      <c r="U172" s="4">
        <f t="shared" si="20"/>
        <v>5.0712370960116428E-7</v>
      </c>
    </row>
    <row r="173" spans="1:21" x14ac:dyDescent="0.3">
      <c r="A173" s="3">
        <v>45463</v>
      </c>
      <c r="B173" s="1" t="s">
        <v>80</v>
      </c>
      <c r="C173" s="1" t="s">
        <v>77</v>
      </c>
      <c r="D173" s="1">
        <v>2024</v>
      </c>
      <c r="E173" s="1" t="s">
        <v>61</v>
      </c>
      <c r="F173" s="1" t="s">
        <v>62</v>
      </c>
      <c r="G173" s="1" t="s">
        <v>35</v>
      </c>
      <c r="H173" s="1" t="s">
        <v>41</v>
      </c>
      <c r="I173" s="1" t="s">
        <v>46</v>
      </c>
      <c r="J173" s="1">
        <v>7</v>
      </c>
      <c r="K173" s="1">
        <v>35458</v>
      </c>
      <c r="L173" s="1">
        <f t="shared" si="14"/>
        <v>248206</v>
      </c>
      <c r="M173" s="1">
        <f t="shared" si="15"/>
        <v>186154.5</v>
      </c>
      <c r="N173" s="1">
        <f t="shared" si="16"/>
        <v>62051.5</v>
      </c>
      <c r="O173" s="4">
        <f t="shared" si="17"/>
        <v>0.25</v>
      </c>
      <c r="P173" s="1" t="s">
        <v>38</v>
      </c>
      <c r="Q173" s="1" t="s">
        <v>29</v>
      </c>
      <c r="R173" s="1">
        <f t="shared" si="18"/>
        <v>273026.60000000003</v>
      </c>
      <c r="S173" s="1">
        <v>248206</v>
      </c>
      <c r="T173" s="5">
        <f t="shared" si="19"/>
        <v>0.90909090909090895</v>
      </c>
      <c r="U173" s="4">
        <f t="shared" si="20"/>
        <v>6.6510331327293875E-6</v>
      </c>
    </row>
    <row r="174" spans="1:21" x14ac:dyDescent="0.3">
      <c r="A174" s="3">
        <v>45464</v>
      </c>
      <c r="B174" s="1" t="s">
        <v>80</v>
      </c>
      <c r="C174" s="1" t="s">
        <v>77</v>
      </c>
      <c r="D174" s="1">
        <v>2024</v>
      </c>
      <c r="E174" s="1" t="s">
        <v>61</v>
      </c>
      <c r="F174" s="1" t="s">
        <v>66</v>
      </c>
      <c r="G174" s="1" t="s">
        <v>59</v>
      </c>
      <c r="H174" s="1" t="s">
        <v>33</v>
      </c>
      <c r="I174" s="1" t="s">
        <v>55</v>
      </c>
      <c r="J174" s="1">
        <v>35</v>
      </c>
      <c r="K174" s="1">
        <v>11707</v>
      </c>
      <c r="L174" s="1">
        <f t="shared" si="14"/>
        <v>409745</v>
      </c>
      <c r="M174" s="1">
        <f t="shared" si="15"/>
        <v>307308.75</v>
      </c>
      <c r="N174" s="1">
        <f t="shared" si="16"/>
        <v>102436.25</v>
      </c>
      <c r="O174" s="4">
        <f t="shared" si="17"/>
        <v>0.25</v>
      </c>
      <c r="P174" s="1" t="s">
        <v>38</v>
      </c>
      <c r="Q174" s="1" t="s">
        <v>47</v>
      </c>
      <c r="R174" s="1">
        <f t="shared" si="18"/>
        <v>450719.50000000006</v>
      </c>
      <c r="S174" s="1">
        <v>409745</v>
      </c>
      <c r="T174" s="5">
        <f t="shared" si="19"/>
        <v>0.90909090909090895</v>
      </c>
      <c r="U174" s="4">
        <f t="shared" si="20"/>
        <v>2.8967014391011601E-7</v>
      </c>
    </row>
    <row r="175" spans="1:21" x14ac:dyDescent="0.3">
      <c r="A175" s="3">
        <v>45465</v>
      </c>
      <c r="B175" s="1" t="s">
        <v>80</v>
      </c>
      <c r="C175" s="1" t="s">
        <v>77</v>
      </c>
      <c r="D175" s="1">
        <v>2024</v>
      </c>
      <c r="E175" s="1" t="s">
        <v>48</v>
      </c>
      <c r="F175" s="1" t="s">
        <v>49</v>
      </c>
      <c r="G175" s="1" t="s">
        <v>59</v>
      </c>
      <c r="H175" s="1" t="s">
        <v>41</v>
      </c>
      <c r="I175" s="1" t="s">
        <v>42</v>
      </c>
      <c r="J175" s="1">
        <v>29</v>
      </c>
      <c r="K175" s="1">
        <v>1677</v>
      </c>
      <c r="L175" s="1">
        <f t="shared" si="14"/>
        <v>48633</v>
      </c>
      <c r="M175" s="1">
        <f t="shared" si="15"/>
        <v>36474.75</v>
      </c>
      <c r="N175" s="1">
        <f t="shared" si="16"/>
        <v>12158.25</v>
      </c>
      <c r="O175" s="4">
        <f t="shared" si="17"/>
        <v>0.25</v>
      </c>
      <c r="P175" s="1" t="s">
        <v>28</v>
      </c>
      <c r="Q175" s="1" t="s">
        <v>47</v>
      </c>
      <c r="R175" s="1">
        <f t="shared" si="18"/>
        <v>53496.3</v>
      </c>
      <c r="S175" s="1">
        <v>48633</v>
      </c>
      <c r="T175" s="5">
        <f t="shared" si="19"/>
        <v>0.90909090909090906</v>
      </c>
      <c r="U175" s="4">
        <f t="shared" si="20"/>
        <v>2.544562689329598E-4</v>
      </c>
    </row>
    <row r="176" spans="1:21" x14ac:dyDescent="0.3">
      <c r="A176" s="3">
        <v>45466</v>
      </c>
      <c r="B176" s="1" t="s">
        <v>80</v>
      </c>
      <c r="C176" s="1" t="s">
        <v>77</v>
      </c>
      <c r="D176" s="1">
        <v>2024</v>
      </c>
      <c r="E176" s="1" t="s">
        <v>23</v>
      </c>
      <c r="F176" s="1" t="s">
        <v>63</v>
      </c>
      <c r="G176" s="1" t="s">
        <v>71</v>
      </c>
      <c r="H176" s="1" t="s">
        <v>33</v>
      </c>
      <c r="I176" s="1" t="s">
        <v>34</v>
      </c>
      <c r="J176" s="1">
        <v>44</v>
      </c>
      <c r="K176" s="1">
        <v>13678</v>
      </c>
      <c r="L176" s="1">
        <f t="shared" si="14"/>
        <v>601832</v>
      </c>
      <c r="M176" s="1">
        <f t="shared" si="15"/>
        <v>451374</v>
      </c>
      <c r="N176" s="1">
        <f t="shared" si="16"/>
        <v>150458</v>
      </c>
      <c r="O176" s="4">
        <f t="shared" si="17"/>
        <v>0.25</v>
      </c>
      <c r="P176" s="1" t="s">
        <v>28</v>
      </c>
      <c r="Q176" s="1" t="s">
        <v>29</v>
      </c>
      <c r="R176" s="1">
        <f t="shared" si="18"/>
        <v>662015.20000000007</v>
      </c>
      <c r="S176" s="1">
        <v>601832</v>
      </c>
      <c r="T176" s="5">
        <f t="shared" si="19"/>
        <v>0.90909090909090895</v>
      </c>
      <c r="U176" s="4">
        <f t="shared" si="20"/>
        <v>1.9000045918452117E-6</v>
      </c>
    </row>
    <row r="177" spans="1:21" x14ac:dyDescent="0.3">
      <c r="A177" s="3">
        <v>45467</v>
      </c>
      <c r="B177" s="1" t="s">
        <v>80</v>
      </c>
      <c r="C177" s="1" t="s">
        <v>77</v>
      </c>
      <c r="D177" s="1">
        <v>2024</v>
      </c>
      <c r="E177" s="1" t="s">
        <v>50</v>
      </c>
      <c r="F177" s="1" t="s">
        <v>56</v>
      </c>
      <c r="G177" s="1" t="s">
        <v>53</v>
      </c>
      <c r="H177" s="1" t="s">
        <v>41</v>
      </c>
      <c r="I177" s="1" t="s">
        <v>60</v>
      </c>
      <c r="J177" s="1">
        <v>15</v>
      </c>
      <c r="K177" s="1">
        <v>45879</v>
      </c>
      <c r="L177" s="1">
        <f t="shared" si="14"/>
        <v>688185</v>
      </c>
      <c r="M177" s="1">
        <f t="shared" si="15"/>
        <v>516138.75</v>
      </c>
      <c r="N177" s="1">
        <f t="shared" si="16"/>
        <v>172046.25</v>
      </c>
      <c r="O177" s="4">
        <f t="shared" si="17"/>
        <v>0.25</v>
      </c>
      <c r="P177" s="1" t="s">
        <v>38</v>
      </c>
      <c r="Q177" s="1" t="s">
        <v>29</v>
      </c>
      <c r="R177" s="1">
        <f t="shared" si="18"/>
        <v>757003.50000000012</v>
      </c>
      <c r="S177" s="1">
        <v>688185</v>
      </c>
      <c r="T177" s="5">
        <f t="shared" si="19"/>
        <v>0.90909090909090895</v>
      </c>
      <c r="U177" s="4">
        <f t="shared" si="20"/>
        <v>3.2793087203763016E-6</v>
      </c>
    </row>
    <row r="178" spans="1:21" x14ac:dyDescent="0.3">
      <c r="A178" s="3">
        <v>45468</v>
      </c>
      <c r="B178" s="1" t="s">
        <v>80</v>
      </c>
      <c r="C178" s="1" t="s">
        <v>77</v>
      </c>
      <c r="D178" s="1">
        <v>2024</v>
      </c>
      <c r="E178" s="1" t="s">
        <v>50</v>
      </c>
      <c r="F178" s="1" t="s">
        <v>72</v>
      </c>
      <c r="G178" s="1" t="s">
        <v>73</v>
      </c>
      <c r="H178" s="1" t="s">
        <v>41</v>
      </c>
      <c r="I178" s="1" t="s">
        <v>46</v>
      </c>
      <c r="J178" s="1">
        <v>36</v>
      </c>
      <c r="K178" s="1">
        <v>43141</v>
      </c>
      <c r="L178" s="1">
        <f t="shared" si="14"/>
        <v>1553076</v>
      </c>
      <c r="M178" s="1">
        <f t="shared" si="15"/>
        <v>1164807</v>
      </c>
      <c r="N178" s="1">
        <f t="shared" si="16"/>
        <v>388269</v>
      </c>
      <c r="O178" s="4">
        <f t="shared" si="17"/>
        <v>0.25</v>
      </c>
      <c r="P178" s="1" t="s">
        <v>28</v>
      </c>
      <c r="Q178" s="1" t="s">
        <v>47</v>
      </c>
      <c r="R178" s="1">
        <f t="shared" si="18"/>
        <v>1708383.6</v>
      </c>
      <c r="S178" s="1">
        <v>1553076</v>
      </c>
      <c r="T178" s="5">
        <f t="shared" si="19"/>
        <v>0.90909090909090906</v>
      </c>
      <c r="U178" s="4">
        <f t="shared" si="20"/>
        <v>1.5908160509964564E-7</v>
      </c>
    </row>
    <row r="179" spans="1:21" x14ac:dyDescent="0.3">
      <c r="A179" s="3">
        <v>45469</v>
      </c>
      <c r="B179" s="1" t="s">
        <v>80</v>
      </c>
      <c r="C179" s="1" t="s">
        <v>77</v>
      </c>
      <c r="D179" s="1">
        <v>2024</v>
      </c>
      <c r="E179" s="1" t="s">
        <v>23</v>
      </c>
      <c r="F179" s="1" t="s">
        <v>43</v>
      </c>
      <c r="G179" s="1" t="s">
        <v>71</v>
      </c>
      <c r="H179" s="1" t="s">
        <v>26</v>
      </c>
      <c r="I179" s="1" t="s">
        <v>64</v>
      </c>
      <c r="J179" s="1">
        <v>42</v>
      </c>
      <c r="K179" s="1">
        <v>9136</v>
      </c>
      <c r="L179" s="1">
        <f t="shared" si="14"/>
        <v>383712</v>
      </c>
      <c r="M179" s="1">
        <f t="shared" si="15"/>
        <v>287784</v>
      </c>
      <c r="N179" s="1">
        <f t="shared" si="16"/>
        <v>95928</v>
      </c>
      <c r="O179" s="4">
        <f t="shared" si="17"/>
        <v>0.25</v>
      </c>
      <c r="P179" s="1" t="s">
        <v>38</v>
      </c>
      <c r="Q179" s="1" t="s">
        <v>47</v>
      </c>
      <c r="R179" s="1">
        <f t="shared" si="18"/>
        <v>422083.2</v>
      </c>
      <c r="S179" s="1">
        <v>383712</v>
      </c>
      <c r="T179" s="5">
        <f t="shared" si="19"/>
        <v>0.90909090909090906</v>
      </c>
      <c r="U179" s="4">
        <f t="shared" si="20"/>
        <v>1.3881627349622938E-6</v>
      </c>
    </row>
    <row r="180" spans="1:21" x14ac:dyDescent="0.3">
      <c r="A180" s="3">
        <v>45470</v>
      </c>
      <c r="B180" s="1" t="s">
        <v>80</v>
      </c>
      <c r="C180" s="1" t="s">
        <v>77</v>
      </c>
      <c r="D180" s="1">
        <v>2024</v>
      </c>
      <c r="E180" s="1" t="s">
        <v>61</v>
      </c>
      <c r="F180" s="1" t="s">
        <v>62</v>
      </c>
      <c r="G180" s="1" t="s">
        <v>57</v>
      </c>
      <c r="H180" s="1" t="s">
        <v>36</v>
      </c>
      <c r="I180" s="1" t="s">
        <v>37</v>
      </c>
      <c r="J180" s="1">
        <v>13</v>
      </c>
      <c r="K180" s="1">
        <v>15722</v>
      </c>
      <c r="L180" s="1">
        <f t="shared" si="14"/>
        <v>204386</v>
      </c>
      <c r="M180" s="1">
        <f t="shared" si="15"/>
        <v>153289.5</v>
      </c>
      <c r="N180" s="1">
        <f t="shared" si="16"/>
        <v>51096.5</v>
      </c>
      <c r="O180" s="4">
        <f t="shared" si="17"/>
        <v>0.25</v>
      </c>
      <c r="P180" s="1" t="s">
        <v>28</v>
      </c>
      <c r="Q180" s="1" t="s">
        <v>47</v>
      </c>
      <c r="R180" s="1">
        <f t="shared" si="18"/>
        <v>224824.6</v>
      </c>
      <c r="S180" s="1">
        <v>204386</v>
      </c>
      <c r="T180" s="5">
        <f t="shared" si="19"/>
        <v>0.90909090909090906</v>
      </c>
      <c r="U180" s="4">
        <f t="shared" si="20"/>
        <v>1.301299190329183E-6</v>
      </c>
    </row>
    <row r="181" spans="1:21" x14ac:dyDescent="0.3">
      <c r="A181" s="3">
        <v>45471</v>
      </c>
      <c r="B181" s="1" t="s">
        <v>80</v>
      </c>
      <c r="C181" s="1" t="s">
        <v>77</v>
      </c>
      <c r="D181" s="1">
        <v>2024</v>
      </c>
      <c r="E181" s="1" t="s">
        <v>48</v>
      </c>
      <c r="F181" s="1" t="s">
        <v>49</v>
      </c>
      <c r="G181" s="1" t="s">
        <v>53</v>
      </c>
      <c r="H181" s="1" t="s">
        <v>26</v>
      </c>
      <c r="I181" s="1" t="s">
        <v>78</v>
      </c>
      <c r="J181" s="1">
        <v>8</v>
      </c>
      <c r="K181" s="1">
        <v>6795</v>
      </c>
      <c r="L181" s="1">
        <f t="shared" si="14"/>
        <v>54360</v>
      </c>
      <c r="M181" s="1">
        <f t="shared" si="15"/>
        <v>40770</v>
      </c>
      <c r="N181" s="1">
        <f t="shared" si="16"/>
        <v>13590</v>
      </c>
      <c r="O181" s="4">
        <f t="shared" si="17"/>
        <v>0.25</v>
      </c>
      <c r="P181" s="1" t="s">
        <v>38</v>
      </c>
      <c r="Q181" s="1" t="s">
        <v>29</v>
      </c>
      <c r="R181" s="1">
        <f t="shared" si="18"/>
        <v>59796.000000000007</v>
      </c>
      <c r="S181" s="1">
        <v>54360</v>
      </c>
      <c r="T181" s="5">
        <f t="shared" si="19"/>
        <v>0.90909090909090895</v>
      </c>
      <c r="U181" s="4">
        <f t="shared" si="20"/>
        <v>1.0631606746725967E-4</v>
      </c>
    </row>
    <row r="182" spans="1:21" x14ac:dyDescent="0.3">
      <c r="A182" s="3">
        <v>45472</v>
      </c>
      <c r="B182" s="1" t="s">
        <v>80</v>
      </c>
      <c r="C182" s="1" t="s">
        <v>77</v>
      </c>
      <c r="D182" s="1">
        <v>2024</v>
      </c>
      <c r="E182" s="1" t="s">
        <v>30</v>
      </c>
      <c r="F182" s="1" t="s">
        <v>39</v>
      </c>
      <c r="G182" s="1" t="s">
        <v>57</v>
      </c>
      <c r="H182" s="1" t="s">
        <v>26</v>
      </c>
      <c r="I182" s="1" t="s">
        <v>78</v>
      </c>
      <c r="J182" s="1">
        <v>19</v>
      </c>
      <c r="K182" s="1">
        <v>16535</v>
      </c>
      <c r="L182" s="1">
        <f t="shared" si="14"/>
        <v>314165</v>
      </c>
      <c r="M182" s="1">
        <f t="shared" si="15"/>
        <v>235623.75</v>
      </c>
      <c r="N182" s="1">
        <f t="shared" si="16"/>
        <v>78541.25</v>
      </c>
      <c r="O182" s="4">
        <f t="shared" si="17"/>
        <v>0.25</v>
      </c>
      <c r="P182" s="1" t="s">
        <v>28</v>
      </c>
      <c r="Q182" s="1" t="s">
        <v>47</v>
      </c>
      <c r="R182" s="1">
        <f t="shared" si="18"/>
        <v>345581.5</v>
      </c>
      <c r="S182" s="1">
        <v>314165</v>
      </c>
      <c r="T182" s="5">
        <f t="shared" si="19"/>
        <v>0.90909090909090906</v>
      </c>
      <c r="U182" s="4">
        <f t="shared" si="20"/>
        <v>7.254909415913568E-6</v>
      </c>
    </row>
    <row r="183" spans="1:21" x14ac:dyDescent="0.3">
      <c r="A183" s="3">
        <v>45473</v>
      </c>
      <c r="B183" s="1" t="s">
        <v>80</v>
      </c>
      <c r="C183" s="1" t="s">
        <v>77</v>
      </c>
      <c r="D183" s="1">
        <v>2024</v>
      </c>
      <c r="E183" s="1" t="s">
        <v>23</v>
      </c>
      <c r="F183" s="1" t="s">
        <v>43</v>
      </c>
      <c r="G183" s="1" t="s">
        <v>35</v>
      </c>
      <c r="H183" s="1" t="s">
        <v>36</v>
      </c>
      <c r="I183" s="1" t="s">
        <v>52</v>
      </c>
      <c r="J183" s="1">
        <v>17</v>
      </c>
      <c r="K183" s="1">
        <v>42121</v>
      </c>
      <c r="L183" s="1">
        <f t="shared" si="14"/>
        <v>716057</v>
      </c>
      <c r="M183" s="1">
        <f t="shared" si="15"/>
        <v>537042.75</v>
      </c>
      <c r="N183" s="1">
        <f t="shared" si="16"/>
        <v>179014.25</v>
      </c>
      <c r="O183" s="4">
        <f t="shared" si="17"/>
        <v>0.25</v>
      </c>
      <c r="P183" s="1" t="s">
        <v>28</v>
      </c>
      <c r="Q183" s="1" t="s">
        <v>29</v>
      </c>
      <c r="R183" s="1">
        <f t="shared" si="18"/>
        <v>787662.70000000007</v>
      </c>
      <c r="S183" s="1">
        <v>716057</v>
      </c>
      <c r="T183" s="5">
        <f t="shared" si="19"/>
        <v>0.90909090909090906</v>
      </c>
      <c r="U183" s="4">
        <f t="shared" si="20"/>
        <v>7.1096791151426265E-8</v>
      </c>
    </row>
    <row r="184" spans="1:21" x14ac:dyDescent="0.3">
      <c r="A184" s="3">
        <v>45474</v>
      </c>
      <c r="B184" s="1" t="s">
        <v>81</v>
      </c>
      <c r="C184" s="1" t="s">
        <v>82</v>
      </c>
      <c r="D184" s="1">
        <v>2024</v>
      </c>
      <c r="E184" s="1" t="s">
        <v>48</v>
      </c>
      <c r="F184" s="1" t="s">
        <v>68</v>
      </c>
      <c r="G184" s="1" t="s">
        <v>53</v>
      </c>
      <c r="H184" s="1" t="s">
        <v>33</v>
      </c>
      <c r="I184" s="1" t="s">
        <v>45</v>
      </c>
      <c r="J184" s="1">
        <v>2</v>
      </c>
      <c r="K184" s="1">
        <v>18227</v>
      </c>
      <c r="L184" s="1">
        <f t="shared" si="14"/>
        <v>36454</v>
      </c>
      <c r="M184" s="1">
        <f t="shared" si="15"/>
        <v>27340.5</v>
      </c>
      <c r="N184" s="1">
        <f t="shared" si="16"/>
        <v>9113.5</v>
      </c>
      <c r="O184" s="4">
        <f t="shared" si="17"/>
        <v>0.25</v>
      </c>
      <c r="P184" s="1" t="s">
        <v>28</v>
      </c>
      <c r="Q184" s="1" t="s">
        <v>47</v>
      </c>
      <c r="R184" s="1">
        <f t="shared" si="18"/>
        <v>40099.4</v>
      </c>
      <c r="S184" s="1">
        <v>36454</v>
      </c>
      <c r="T184" s="5">
        <f t="shared" si="19"/>
        <v>0.90909090909090906</v>
      </c>
      <c r="U184" s="4">
        <f t="shared" si="20"/>
        <v>5.5713468145117439E-4</v>
      </c>
    </row>
    <row r="185" spans="1:21" x14ac:dyDescent="0.3">
      <c r="A185" s="3">
        <v>45475</v>
      </c>
      <c r="B185" s="1" t="s">
        <v>81</v>
      </c>
      <c r="C185" s="1" t="s">
        <v>82</v>
      </c>
      <c r="D185" s="1">
        <v>2024</v>
      </c>
      <c r="E185" s="1" t="s">
        <v>61</v>
      </c>
      <c r="F185" s="1" t="s">
        <v>62</v>
      </c>
      <c r="G185" s="1" t="s">
        <v>71</v>
      </c>
      <c r="H185" s="1" t="s">
        <v>41</v>
      </c>
      <c r="I185" s="1" t="s">
        <v>46</v>
      </c>
      <c r="J185" s="1">
        <v>19</v>
      </c>
      <c r="K185" s="1">
        <v>38967</v>
      </c>
      <c r="L185" s="1">
        <f t="shared" si="14"/>
        <v>740373</v>
      </c>
      <c r="M185" s="1">
        <f t="shared" si="15"/>
        <v>555279.75</v>
      </c>
      <c r="N185" s="1">
        <f t="shared" si="16"/>
        <v>185093.25</v>
      </c>
      <c r="O185" s="4">
        <f t="shared" si="17"/>
        <v>0.25</v>
      </c>
      <c r="P185" s="1" t="s">
        <v>38</v>
      </c>
      <c r="Q185" s="1" t="s">
        <v>47</v>
      </c>
      <c r="R185" s="1">
        <f t="shared" si="18"/>
        <v>814410.3</v>
      </c>
      <c r="S185" s="1">
        <v>740373</v>
      </c>
      <c r="T185" s="5">
        <f t="shared" si="19"/>
        <v>0.90909090909090906</v>
      </c>
      <c r="U185" s="4">
        <f t="shared" si="20"/>
        <v>8.0450651623920413E-7</v>
      </c>
    </row>
    <row r="186" spans="1:21" x14ac:dyDescent="0.3">
      <c r="A186" s="3">
        <v>45476</v>
      </c>
      <c r="B186" s="1" t="s">
        <v>81</v>
      </c>
      <c r="C186" s="1" t="s">
        <v>82</v>
      </c>
      <c r="D186" s="1">
        <v>2024</v>
      </c>
      <c r="E186" s="1" t="s">
        <v>50</v>
      </c>
      <c r="F186" s="1" t="s">
        <v>51</v>
      </c>
      <c r="G186" s="1" t="s">
        <v>40</v>
      </c>
      <c r="H186" s="1" t="s">
        <v>36</v>
      </c>
      <c r="I186" s="1" t="s">
        <v>52</v>
      </c>
      <c r="J186" s="1">
        <v>8</v>
      </c>
      <c r="K186" s="1">
        <v>55124</v>
      </c>
      <c r="L186" s="1">
        <f t="shared" si="14"/>
        <v>440992</v>
      </c>
      <c r="M186" s="1">
        <f t="shared" si="15"/>
        <v>330744</v>
      </c>
      <c r="N186" s="1">
        <f t="shared" si="16"/>
        <v>110248</v>
      </c>
      <c r="O186" s="4">
        <f t="shared" si="17"/>
        <v>0.25</v>
      </c>
      <c r="P186" s="1" t="s">
        <v>28</v>
      </c>
      <c r="Q186" s="1" t="s">
        <v>29</v>
      </c>
      <c r="R186" s="1">
        <f t="shared" si="18"/>
        <v>485091.2</v>
      </c>
      <c r="S186" s="1">
        <v>440992</v>
      </c>
      <c r="T186" s="5">
        <f t="shared" si="19"/>
        <v>0.90909090909090906</v>
      </c>
      <c r="U186" s="4">
        <f t="shared" si="20"/>
        <v>2.4447079648034427E-6</v>
      </c>
    </row>
    <row r="187" spans="1:21" x14ac:dyDescent="0.3">
      <c r="A187" s="3">
        <v>45477</v>
      </c>
      <c r="B187" s="1" t="s">
        <v>81</v>
      </c>
      <c r="C187" s="1" t="s">
        <v>82</v>
      </c>
      <c r="D187" s="1">
        <v>2024</v>
      </c>
      <c r="E187" s="1" t="s">
        <v>48</v>
      </c>
      <c r="F187" s="1" t="s">
        <v>68</v>
      </c>
      <c r="G187" s="1" t="s">
        <v>32</v>
      </c>
      <c r="H187" s="1" t="s">
        <v>41</v>
      </c>
      <c r="I187" s="1" t="s">
        <v>46</v>
      </c>
      <c r="J187" s="1">
        <v>8</v>
      </c>
      <c r="K187" s="1">
        <v>59429</v>
      </c>
      <c r="L187" s="1">
        <f t="shared" si="14"/>
        <v>475432</v>
      </c>
      <c r="M187" s="1">
        <f t="shared" si="15"/>
        <v>356574</v>
      </c>
      <c r="N187" s="1">
        <f t="shared" si="16"/>
        <v>118858</v>
      </c>
      <c r="O187" s="4">
        <f t="shared" si="17"/>
        <v>0.25</v>
      </c>
      <c r="P187" s="1" t="s">
        <v>38</v>
      </c>
      <c r="Q187" s="1" t="s">
        <v>29</v>
      </c>
      <c r="R187" s="1">
        <f t="shared" si="18"/>
        <v>522975.20000000007</v>
      </c>
      <c r="S187" s="1">
        <v>475432</v>
      </c>
      <c r="T187" s="5">
        <f t="shared" si="19"/>
        <v>0.90909090909090895</v>
      </c>
      <c r="U187" s="4">
        <f t="shared" si="20"/>
        <v>1.577229520911848E-6</v>
      </c>
    </row>
    <row r="188" spans="1:21" x14ac:dyDescent="0.3">
      <c r="A188" s="3">
        <v>45478</v>
      </c>
      <c r="B188" s="1" t="s">
        <v>81</v>
      </c>
      <c r="C188" s="1" t="s">
        <v>82</v>
      </c>
      <c r="D188" s="1">
        <v>2024</v>
      </c>
      <c r="E188" s="1" t="s">
        <v>48</v>
      </c>
      <c r="F188" s="1" t="s">
        <v>65</v>
      </c>
      <c r="G188" s="1" t="s">
        <v>44</v>
      </c>
      <c r="H188" s="1" t="s">
        <v>33</v>
      </c>
      <c r="I188" s="1" t="s">
        <v>45</v>
      </c>
      <c r="J188" s="1">
        <v>35</v>
      </c>
      <c r="K188" s="1">
        <v>10186</v>
      </c>
      <c r="L188" s="1">
        <f t="shared" si="14"/>
        <v>356510</v>
      </c>
      <c r="M188" s="1">
        <f t="shared" si="15"/>
        <v>267382.5</v>
      </c>
      <c r="N188" s="1">
        <f t="shared" si="16"/>
        <v>89127.5</v>
      </c>
      <c r="O188" s="4">
        <f t="shared" si="17"/>
        <v>0.25</v>
      </c>
      <c r="P188" s="1" t="s">
        <v>38</v>
      </c>
      <c r="Q188" s="1" t="s">
        <v>47</v>
      </c>
      <c r="R188" s="1">
        <f t="shared" si="18"/>
        <v>392161.00000000006</v>
      </c>
      <c r="S188" s="1">
        <v>356510</v>
      </c>
      <c r="T188" s="5">
        <f t="shared" si="19"/>
        <v>0.90909090909090895</v>
      </c>
      <c r="U188" s="4">
        <f t="shared" si="20"/>
        <v>8.0016125900837503E-6</v>
      </c>
    </row>
    <row r="189" spans="1:21" x14ac:dyDescent="0.3">
      <c r="A189" s="3">
        <v>45479</v>
      </c>
      <c r="B189" s="1" t="s">
        <v>81</v>
      </c>
      <c r="C189" s="1" t="s">
        <v>82</v>
      </c>
      <c r="D189" s="1">
        <v>2024</v>
      </c>
      <c r="E189" s="1" t="s">
        <v>50</v>
      </c>
      <c r="F189" s="1" t="s">
        <v>51</v>
      </c>
      <c r="G189" s="1" t="s">
        <v>53</v>
      </c>
      <c r="H189" s="1" t="s">
        <v>36</v>
      </c>
      <c r="I189" s="1" t="s">
        <v>69</v>
      </c>
      <c r="J189" s="1">
        <v>30</v>
      </c>
      <c r="K189" s="1">
        <v>33900</v>
      </c>
      <c r="L189" s="1">
        <f t="shared" si="14"/>
        <v>1017000</v>
      </c>
      <c r="M189" s="1">
        <f t="shared" si="15"/>
        <v>762750</v>
      </c>
      <c r="N189" s="1">
        <f t="shared" si="16"/>
        <v>254250</v>
      </c>
      <c r="O189" s="4">
        <f t="shared" si="17"/>
        <v>0.25</v>
      </c>
      <c r="P189" s="1" t="s">
        <v>38</v>
      </c>
      <c r="Q189" s="1" t="s">
        <v>29</v>
      </c>
      <c r="R189" s="1">
        <f t="shared" si="18"/>
        <v>1118700</v>
      </c>
      <c r="S189" s="1">
        <v>1017000</v>
      </c>
      <c r="T189" s="5">
        <f t="shared" si="19"/>
        <v>0.90909090909090906</v>
      </c>
      <c r="U189" s="4">
        <f t="shared" si="20"/>
        <v>1.1525212005541972E-6</v>
      </c>
    </row>
    <row r="190" spans="1:21" x14ac:dyDescent="0.3">
      <c r="A190" s="3">
        <v>45480</v>
      </c>
      <c r="B190" s="1" t="s">
        <v>81</v>
      </c>
      <c r="C190" s="1" t="s">
        <v>82</v>
      </c>
      <c r="D190" s="1">
        <v>2024</v>
      </c>
      <c r="E190" s="1" t="s">
        <v>30</v>
      </c>
      <c r="F190" s="1" t="s">
        <v>31</v>
      </c>
      <c r="G190" s="1" t="s">
        <v>71</v>
      </c>
      <c r="H190" s="1" t="s">
        <v>41</v>
      </c>
      <c r="I190" s="1" t="s">
        <v>60</v>
      </c>
      <c r="J190" s="1">
        <v>40</v>
      </c>
      <c r="K190" s="1">
        <v>29801</v>
      </c>
      <c r="L190" s="1">
        <f t="shared" si="14"/>
        <v>1192040</v>
      </c>
      <c r="M190" s="1">
        <f t="shared" si="15"/>
        <v>894030</v>
      </c>
      <c r="N190" s="1">
        <f t="shared" si="16"/>
        <v>298010</v>
      </c>
      <c r="O190" s="4">
        <f t="shared" si="17"/>
        <v>0.25</v>
      </c>
      <c r="P190" s="1" t="s">
        <v>38</v>
      </c>
      <c r="Q190" s="1" t="s">
        <v>47</v>
      </c>
      <c r="R190" s="1">
        <f t="shared" si="18"/>
        <v>1311244</v>
      </c>
      <c r="S190" s="1">
        <v>1192040</v>
      </c>
      <c r="T190" s="5">
        <f t="shared" si="19"/>
        <v>0.90909090909090906</v>
      </c>
      <c r="U190" s="4">
        <f t="shared" si="20"/>
        <v>1.2370684535416204E-6</v>
      </c>
    </row>
    <row r="191" spans="1:21" x14ac:dyDescent="0.3">
      <c r="A191" s="3">
        <v>45481</v>
      </c>
      <c r="B191" s="1" t="s">
        <v>81</v>
      </c>
      <c r="C191" s="1" t="s">
        <v>82</v>
      </c>
      <c r="D191" s="1">
        <v>2024</v>
      </c>
      <c r="E191" s="1" t="s">
        <v>50</v>
      </c>
      <c r="F191" s="1" t="s">
        <v>72</v>
      </c>
      <c r="G191" s="1" t="s">
        <v>59</v>
      </c>
      <c r="H191" s="1" t="s">
        <v>33</v>
      </c>
      <c r="I191" s="1" t="s">
        <v>55</v>
      </c>
      <c r="J191" s="1">
        <v>32</v>
      </c>
      <c r="K191" s="1">
        <v>54932</v>
      </c>
      <c r="L191" s="1">
        <f t="shared" si="14"/>
        <v>1757824</v>
      </c>
      <c r="M191" s="1">
        <f t="shared" si="15"/>
        <v>1318368</v>
      </c>
      <c r="N191" s="1">
        <f t="shared" si="16"/>
        <v>439456</v>
      </c>
      <c r="O191" s="4">
        <f t="shared" si="17"/>
        <v>0.25</v>
      </c>
      <c r="P191" s="1" t="s">
        <v>38</v>
      </c>
      <c r="Q191" s="1" t="s">
        <v>47</v>
      </c>
      <c r="R191" s="1">
        <f t="shared" si="18"/>
        <v>1933606.4000000001</v>
      </c>
      <c r="S191" s="1">
        <v>1757824</v>
      </c>
      <c r="T191" s="5">
        <f t="shared" si="19"/>
        <v>0.90909090909090906</v>
      </c>
      <c r="U191" s="4">
        <f t="shared" si="20"/>
        <v>1.2486952782526821E-8</v>
      </c>
    </row>
    <row r="192" spans="1:21" x14ac:dyDescent="0.3">
      <c r="A192" s="3">
        <v>45482</v>
      </c>
      <c r="B192" s="1" t="s">
        <v>81</v>
      </c>
      <c r="C192" s="1" t="s">
        <v>82</v>
      </c>
      <c r="D192" s="1">
        <v>2024</v>
      </c>
      <c r="E192" s="1" t="s">
        <v>23</v>
      </c>
      <c r="F192" s="1" t="s">
        <v>24</v>
      </c>
      <c r="G192" s="1" t="s">
        <v>71</v>
      </c>
      <c r="H192" s="1" t="s">
        <v>33</v>
      </c>
      <c r="I192" s="1" t="s">
        <v>45</v>
      </c>
      <c r="J192" s="1">
        <v>2</v>
      </c>
      <c r="K192" s="1">
        <v>19292</v>
      </c>
      <c r="L192" s="1">
        <f t="shared" si="14"/>
        <v>38584</v>
      </c>
      <c r="M192" s="1">
        <f t="shared" si="15"/>
        <v>28938</v>
      </c>
      <c r="N192" s="1">
        <f t="shared" si="16"/>
        <v>9646</v>
      </c>
      <c r="O192" s="4">
        <f t="shared" si="17"/>
        <v>0.25</v>
      </c>
      <c r="P192" s="1" t="s">
        <v>28</v>
      </c>
      <c r="Q192" s="1" t="s">
        <v>29</v>
      </c>
      <c r="R192" s="1">
        <f t="shared" si="18"/>
        <v>42442.400000000001</v>
      </c>
      <c r="S192" s="1">
        <v>38584</v>
      </c>
      <c r="T192" s="5">
        <f t="shared" si="19"/>
        <v>0.90909090909090906</v>
      </c>
      <c r="U192" s="4">
        <f t="shared" si="20"/>
        <v>7.3859172018933222E-5</v>
      </c>
    </row>
    <row r="193" spans="1:21" x14ac:dyDescent="0.3">
      <c r="A193" s="3">
        <v>45483</v>
      </c>
      <c r="B193" s="1" t="s">
        <v>81</v>
      </c>
      <c r="C193" s="1" t="s">
        <v>82</v>
      </c>
      <c r="D193" s="1">
        <v>2024</v>
      </c>
      <c r="E193" s="1" t="s">
        <v>23</v>
      </c>
      <c r="F193" s="1" t="s">
        <v>43</v>
      </c>
      <c r="G193" s="1" t="s">
        <v>71</v>
      </c>
      <c r="H193" s="1" t="s">
        <v>33</v>
      </c>
      <c r="I193" s="1" t="s">
        <v>34</v>
      </c>
      <c r="J193" s="1">
        <v>6</v>
      </c>
      <c r="K193" s="1">
        <v>18326</v>
      </c>
      <c r="L193" s="1">
        <f t="shared" si="14"/>
        <v>109956</v>
      </c>
      <c r="M193" s="1">
        <f t="shared" si="15"/>
        <v>82467</v>
      </c>
      <c r="N193" s="1">
        <f t="shared" si="16"/>
        <v>27489</v>
      </c>
      <c r="O193" s="4">
        <f t="shared" si="17"/>
        <v>0.25</v>
      </c>
      <c r="P193" s="1" t="s">
        <v>28</v>
      </c>
      <c r="Q193" s="1" t="s">
        <v>47</v>
      </c>
      <c r="R193" s="1">
        <f t="shared" si="18"/>
        <v>120951.6</v>
      </c>
      <c r="S193" s="1">
        <v>109956</v>
      </c>
      <c r="T193" s="5">
        <f t="shared" si="19"/>
        <v>0.90909090909090906</v>
      </c>
      <c r="U193" s="4">
        <f t="shared" si="20"/>
        <v>3.3396629315363503E-5</v>
      </c>
    </row>
    <row r="194" spans="1:21" x14ac:dyDescent="0.3">
      <c r="A194" s="3">
        <v>45484</v>
      </c>
      <c r="B194" s="1" t="s">
        <v>81</v>
      </c>
      <c r="C194" s="1" t="s">
        <v>82</v>
      </c>
      <c r="D194" s="1">
        <v>2024</v>
      </c>
      <c r="E194" s="1" t="s">
        <v>23</v>
      </c>
      <c r="F194" s="1" t="s">
        <v>63</v>
      </c>
      <c r="G194" s="1" t="s">
        <v>35</v>
      </c>
      <c r="H194" s="1" t="s">
        <v>33</v>
      </c>
      <c r="I194" s="1" t="s">
        <v>34</v>
      </c>
      <c r="J194" s="1">
        <v>18</v>
      </c>
      <c r="K194" s="1">
        <v>22432</v>
      </c>
      <c r="L194" s="1">
        <f t="shared" si="14"/>
        <v>403776</v>
      </c>
      <c r="M194" s="1">
        <f t="shared" si="15"/>
        <v>302832</v>
      </c>
      <c r="N194" s="1">
        <f t="shared" si="16"/>
        <v>100944</v>
      </c>
      <c r="O194" s="4">
        <f t="shared" si="17"/>
        <v>0.25</v>
      </c>
      <c r="P194" s="1" t="s">
        <v>38</v>
      </c>
      <c r="Q194" s="1" t="s">
        <v>47</v>
      </c>
      <c r="R194" s="1">
        <f t="shared" si="18"/>
        <v>444153.60000000003</v>
      </c>
      <c r="S194" s="1">
        <v>403776</v>
      </c>
      <c r="T194" s="5">
        <f t="shared" si="19"/>
        <v>0.90909090909090906</v>
      </c>
      <c r="U194" s="4">
        <f t="shared" si="20"/>
        <v>1.5501880566520048E-6</v>
      </c>
    </row>
    <row r="195" spans="1:21" x14ac:dyDescent="0.3">
      <c r="A195" s="3">
        <v>45485</v>
      </c>
      <c r="B195" s="1" t="s">
        <v>81</v>
      </c>
      <c r="C195" s="1" t="s">
        <v>82</v>
      </c>
      <c r="D195" s="1">
        <v>2024</v>
      </c>
      <c r="E195" s="1" t="s">
        <v>23</v>
      </c>
      <c r="F195" s="1" t="s">
        <v>43</v>
      </c>
      <c r="G195" s="1" t="s">
        <v>53</v>
      </c>
      <c r="H195" s="1" t="s">
        <v>36</v>
      </c>
      <c r="I195" s="1" t="s">
        <v>52</v>
      </c>
      <c r="J195" s="1">
        <v>35</v>
      </c>
      <c r="K195" s="1">
        <v>7221</v>
      </c>
      <c r="L195" s="1">
        <f t="shared" ref="L195:L201" si="21">J195*K195</f>
        <v>252735</v>
      </c>
      <c r="M195" s="1">
        <f t="shared" ref="M195:M201" si="22">L195*0.75</f>
        <v>189551.25</v>
      </c>
      <c r="N195" s="1">
        <f t="shared" ref="N195:N200" si="23">L195-M195</f>
        <v>63183.75</v>
      </c>
      <c r="O195" s="4">
        <f t="shared" ref="O195:O201" si="24">N195/L195</f>
        <v>0.25</v>
      </c>
      <c r="P195" s="1" t="s">
        <v>28</v>
      </c>
      <c r="Q195" s="1" t="s">
        <v>47</v>
      </c>
      <c r="R195" s="1">
        <f t="shared" ref="R195:R201" si="25">L195*1.1</f>
        <v>278008.5</v>
      </c>
      <c r="S195" s="1">
        <v>252735</v>
      </c>
      <c r="T195" s="5">
        <f t="shared" ref="T195:T201" si="26">S195/R195</f>
        <v>0.90909090909090906</v>
      </c>
      <c r="U195" s="4">
        <f t="shared" ref="U195:U201" si="27">L196/L195/L195</f>
        <v>2.7852266939782053E-5</v>
      </c>
    </row>
    <row r="196" spans="1:21" x14ac:dyDescent="0.3">
      <c r="A196" s="3">
        <v>45486</v>
      </c>
      <c r="B196" s="1" t="s">
        <v>81</v>
      </c>
      <c r="C196" s="1" t="s">
        <v>82</v>
      </c>
      <c r="D196" s="1">
        <v>2024</v>
      </c>
      <c r="E196" s="1" t="s">
        <v>48</v>
      </c>
      <c r="F196" s="1" t="s">
        <v>68</v>
      </c>
      <c r="G196" s="1" t="s">
        <v>44</v>
      </c>
      <c r="H196" s="1" t="s">
        <v>26</v>
      </c>
      <c r="I196" s="1" t="s">
        <v>27</v>
      </c>
      <c r="J196" s="1">
        <v>33</v>
      </c>
      <c r="K196" s="1">
        <v>53911</v>
      </c>
      <c r="L196" s="1">
        <f t="shared" si="21"/>
        <v>1779063</v>
      </c>
      <c r="M196" s="1">
        <f t="shared" si="22"/>
        <v>1334297.25</v>
      </c>
      <c r="N196" s="1">
        <f t="shared" si="23"/>
        <v>444765.75</v>
      </c>
      <c r="O196" s="4">
        <f t="shared" si="24"/>
        <v>0.25</v>
      </c>
      <c r="P196" s="1" t="s">
        <v>28</v>
      </c>
      <c r="Q196" s="1" t="s">
        <v>47</v>
      </c>
      <c r="R196" s="1">
        <f t="shared" si="25"/>
        <v>1956969.3</v>
      </c>
      <c r="S196" s="1">
        <v>1779063</v>
      </c>
      <c r="T196" s="5">
        <f t="shared" si="26"/>
        <v>0.90909090909090906</v>
      </c>
      <c r="U196" s="4">
        <f t="shared" si="27"/>
        <v>2.0020820058144487E-7</v>
      </c>
    </row>
    <row r="197" spans="1:21" x14ac:dyDescent="0.3">
      <c r="A197" s="3">
        <v>45487</v>
      </c>
      <c r="B197" s="1" t="s">
        <v>81</v>
      </c>
      <c r="C197" s="1" t="s">
        <v>82</v>
      </c>
      <c r="D197" s="1">
        <v>2024</v>
      </c>
      <c r="E197" s="1" t="s">
        <v>23</v>
      </c>
      <c r="F197" s="1" t="s">
        <v>63</v>
      </c>
      <c r="G197" s="1" t="s">
        <v>73</v>
      </c>
      <c r="H197" s="1" t="s">
        <v>26</v>
      </c>
      <c r="I197" s="1" t="s">
        <v>64</v>
      </c>
      <c r="J197" s="1">
        <v>13</v>
      </c>
      <c r="K197" s="1">
        <v>48744</v>
      </c>
      <c r="L197" s="1">
        <f t="shared" si="21"/>
        <v>633672</v>
      </c>
      <c r="M197" s="1">
        <f t="shared" si="22"/>
        <v>475254</v>
      </c>
      <c r="N197" s="1">
        <f t="shared" si="23"/>
        <v>158418</v>
      </c>
      <c r="O197" s="4">
        <f t="shared" si="24"/>
        <v>0.25</v>
      </c>
      <c r="P197" s="1" t="s">
        <v>28</v>
      </c>
      <c r="Q197" s="1" t="s">
        <v>47</v>
      </c>
      <c r="R197" s="1">
        <f t="shared" si="25"/>
        <v>697039.20000000007</v>
      </c>
      <c r="S197" s="1">
        <v>633672</v>
      </c>
      <c r="T197" s="5">
        <f t="shared" si="26"/>
        <v>0.90909090909090895</v>
      </c>
      <c r="U197" s="4">
        <f t="shared" si="27"/>
        <v>7.8255177736957447E-7</v>
      </c>
    </row>
    <row r="198" spans="1:21" x14ac:dyDescent="0.3">
      <c r="A198" s="3">
        <v>45488</v>
      </c>
      <c r="B198" s="1" t="s">
        <v>81</v>
      </c>
      <c r="C198" s="1" t="s">
        <v>82</v>
      </c>
      <c r="D198" s="1">
        <v>2024</v>
      </c>
      <c r="E198" s="1" t="s">
        <v>50</v>
      </c>
      <c r="F198" s="1" t="s">
        <v>51</v>
      </c>
      <c r="G198" s="1" t="s">
        <v>40</v>
      </c>
      <c r="H198" s="1" t="s">
        <v>33</v>
      </c>
      <c r="I198" s="1" t="s">
        <v>45</v>
      </c>
      <c r="J198" s="1">
        <v>6</v>
      </c>
      <c r="K198" s="1">
        <v>52371</v>
      </c>
      <c r="L198" s="1">
        <f t="shared" si="21"/>
        <v>314226</v>
      </c>
      <c r="M198" s="1">
        <f t="shared" si="22"/>
        <v>235669.5</v>
      </c>
      <c r="N198" s="1">
        <f t="shared" si="23"/>
        <v>78556.5</v>
      </c>
      <c r="O198" s="4">
        <f t="shared" si="24"/>
        <v>0.25</v>
      </c>
      <c r="P198" s="1" t="s">
        <v>38</v>
      </c>
      <c r="Q198" s="1" t="s">
        <v>47</v>
      </c>
      <c r="R198" s="1">
        <f t="shared" si="25"/>
        <v>345648.60000000003</v>
      </c>
      <c r="S198" s="1">
        <v>314226</v>
      </c>
      <c r="T198" s="5">
        <f t="shared" si="26"/>
        <v>0.90909090909090895</v>
      </c>
      <c r="U198" s="4">
        <f t="shared" si="27"/>
        <v>1.3771043449789476E-5</v>
      </c>
    </row>
    <row r="199" spans="1:21" x14ac:dyDescent="0.3">
      <c r="A199" s="3">
        <v>45489</v>
      </c>
      <c r="B199" s="1" t="s">
        <v>81</v>
      </c>
      <c r="C199" s="1" t="s">
        <v>82</v>
      </c>
      <c r="D199" s="1">
        <v>2024</v>
      </c>
      <c r="E199" s="1" t="s">
        <v>30</v>
      </c>
      <c r="F199" s="1" t="s">
        <v>54</v>
      </c>
      <c r="G199" s="1" t="s">
        <v>73</v>
      </c>
      <c r="H199" s="1" t="s">
        <v>33</v>
      </c>
      <c r="I199" s="1" t="s">
        <v>34</v>
      </c>
      <c r="J199" s="1">
        <v>25</v>
      </c>
      <c r="K199" s="1">
        <v>54389</v>
      </c>
      <c r="L199" s="1">
        <f t="shared" si="21"/>
        <v>1359725</v>
      </c>
      <c r="M199" s="1">
        <f t="shared" si="22"/>
        <v>1019793.75</v>
      </c>
      <c r="N199" s="1">
        <f t="shared" si="23"/>
        <v>339931.25</v>
      </c>
      <c r="O199" s="4">
        <f t="shared" si="24"/>
        <v>0.25</v>
      </c>
      <c r="P199" s="1" t="s">
        <v>38</v>
      </c>
      <c r="Q199" s="1" t="s">
        <v>29</v>
      </c>
      <c r="R199" s="1">
        <f t="shared" si="25"/>
        <v>1495697.5000000002</v>
      </c>
      <c r="S199" s="1">
        <v>1359725</v>
      </c>
      <c r="T199" s="5">
        <f t="shared" si="26"/>
        <v>0.90909090909090895</v>
      </c>
      <c r="U199" s="4">
        <f t="shared" si="27"/>
        <v>4.4465861322198442E-7</v>
      </c>
    </row>
    <row r="200" spans="1:21" x14ac:dyDescent="0.3">
      <c r="A200" s="3">
        <v>45490</v>
      </c>
      <c r="B200" s="1" t="s">
        <v>81</v>
      </c>
      <c r="C200" s="1" t="s">
        <v>82</v>
      </c>
      <c r="D200" s="1">
        <v>2024</v>
      </c>
      <c r="E200" s="1" t="s">
        <v>30</v>
      </c>
      <c r="F200" s="1" t="s">
        <v>54</v>
      </c>
      <c r="G200" s="1" t="s">
        <v>73</v>
      </c>
      <c r="H200" s="1" t="s">
        <v>26</v>
      </c>
      <c r="I200" s="1" t="s">
        <v>64</v>
      </c>
      <c r="J200" s="1">
        <v>28</v>
      </c>
      <c r="K200" s="1">
        <v>29361</v>
      </c>
      <c r="L200" s="1">
        <f t="shared" si="21"/>
        <v>822108</v>
      </c>
      <c r="M200" s="1">
        <f t="shared" si="22"/>
        <v>616581</v>
      </c>
      <c r="N200" s="1">
        <f t="shared" si="23"/>
        <v>205527</v>
      </c>
      <c r="O200" s="4">
        <f t="shared" si="24"/>
        <v>0.25</v>
      </c>
      <c r="P200" s="1" t="s">
        <v>28</v>
      </c>
      <c r="Q200" s="1" t="s">
        <v>47</v>
      </c>
      <c r="R200" s="1">
        <f t="shared" si="25"/>
        <v>904318.8</v>
      </c>
      <c r="S200" s="1">
        <v>822108</v>
      </c>
      <c r="T200" s="5">
        <f t="shared" si="26"/>
        <v>0.90909090909090906</v>
      </c>
      <c r="U200" s="4">
        <f t="shared" si="27"/>
        <v>2.0006597100589399E-6</v>
      </c>
    </row>
    <row r="201" spans="1:21" x14ac:dyDescent="0.3">
      <c r="A201" s="3">
        <v>45491</v>
      </c>
      <c r="B201" s="1" t="s">
        <v>81</v>
      </c>
      <c r="C201" s="1" t="s">
        <v>82</v>
      </c>
      <c r="D201" s="1">
        <v>2024</v>
      </c>
      <c r="E201" s="1" t="s">
        <v>23</v>
      </c>
      <c r="F201" s="1" t="s">
        <v>63</v>
      </c>
      <c r="G201" s="1" t="s">
        <v>25</v>
      </c>
      <c r="H201" s="1" t="s">
        <v>26</v>
      </c>
      <c r="I201" s="1" t="s">
        <v>27</v>
      </c>
      <c r="J201" s="1">
        <v>39</v>
      </c>
      <c r="K201" s="1">
        <v>34671</v>
      </c>
      <c r="L201" s="1">
        <f t="shared" si="21"/>
        <v>1352169</v>
      </c>
      <c r="M201" s="1">
        <f t="shared" si="22"/>
        <v>1014126.75</v>
      </c>
      <c r="N201" s="1">
        <f>L201-M201</f>
        <v>338042.25</v>
      </c>
      <c r="O201" s="4">
        <f t="shared" si="24"/>
        <v>0.25</v>
      </c>
      <c r="P201" s="1" t="s">
        <v>38</v>
      </c>
      <c r="Q201" s="1" t="s">
        <v>47</v>
      </c>
      <c r="R201" s="1">
        <f t="shared" si="25"/>
        <v>1487385.9000000001</v>
      </c>
      <c r="S201" s="1">
        <v>1352169</v>
      </c>
      <c r="T201" s="5">
        <f t="shared" si="26"/>
        <v>0.90909090909090906</v>
      </c>
      <c r="U201" s="4">
        <f t="shared" si="2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Sales_Performance_Data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 PONNAM</dc:creator>
  <cp:lastModifiedBy>DINESH PONNAM</cp:lastModifiedBy>
  <dcterms:created xsi:type="dcterms:W3CDTF">2026-04-17T12:19:39Z</dcterms:created>
  <dcterms:modified xsi:type="dcterms:W3CDTF">2026-04-17T12:47:24Z</dcterms:modified>
</cp:coreProperties>
</file>